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Orders" sheetId="1" state="visible" r:id="rId3"/>
    <sheet name="Products" sheetId="2" state="visible" r:id="rId4"/>
    <sheet name="Customers" sheetId="3" state="visible" r:id="rId5"/>
    <sheet name="Targets" sheetId="4" state="visible" r:id="rId6"/>
    <sheet name="Lookups" sheetId="5" state="hidden" r:id="rId7"/>
  </sheets>
  <definedNames>
    <definedName function="false" hidden="false" name="FX_EUR_USD" vbProcedure="false">Targets!$B$8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<sst xmlns="http://schemas.openxmlformats.org/spreadsheetml/2006/main" count="2245" uniqueCount="246">
  <si>
    <t xml:space="preserve">Sales Orders FY2024</t>
  </si>
  <si>
    <t xml:space="preserve">Order ID</t>
  </si>
  <si>
    <t xml:space="preserve">Order Date</t>
  </si>
  <si>
    <t xml:space="preserve">Customer ID</t>
  </si>
  <si>
    <t xml:space="preserve">SKU</t>
  </si>
  <si>
    <t xml:space="preserve">Region</t>
  </si>
  <si>
    <t xml:space="preserve">Units</t>
  </si>
  <si>
    <t xml:space="preserve">Unit Price</t>
  </si>
  <si>
    <t xml:space="preserve">Discount</t>
  </si>
  <si>
    <t xml:space="preserve">Revenue</t>
  </si>
  <si>
    <t xml:space="preserve">Status</t>
  </si>
  <si>
    <t xml:space="preserve">Unit Cost</t>
  </si>
  <si>
    <t xml:space="preserve">Margin %</t>
  </si>
  <si>
    <t xml:space="preserve">SKU-1020</t>
  </si>
  <si>
    <t xml:space="preserve">West</t>
  </si>
  <si>
    <t xml:space="preserve">Shipped</t>
  </si>
  <si>
    <t xml:space="preserve">SKU-1017</t>
  </si>
  <si>
    <t xml:space="preserve">SKU-1003</t>
  </si>
  <si>
    <t xml:space="preserve">Pending</t>
  </si>
  <si>
    <t xml:space="preserve">SKU-1014</t>
  </si>
  <si>
    <t xml:space="preserve">North</t>
  </si>
  <si>
    <t xml:space="preserve">East</t>
  </si>
  <si>
    <t xml:space="preserve">SKU-1004</t>
  </si>
  <si>
    <t xml:space="preserve">SKU-1000</t>
  </si>
  <si>
    <t xml:space="preserve">South</t>
  </si>
  <si>
    <t xml:space="preserve">SKU-1005</t>
  </si>
  <si>
    <t xml:space="preserve">SKU-1019</t>
  </si>
  <si>
    <t xml:space="preserve">SKU-1024</t>
  </si>
  <si>
    <t xml:space="preserve">Returned</t>
  </si>
  <si>
    <t xml:space="preserve">SKU-1012</t>
  </si>
  <si>
    <t xml:space="preserve">SKU-1006</t>
  </si>
  <si>
    <t xml:space="preserve">SKU-1007</t>
  </si>
  <si>
    <t xml:space="preserve">SKU-1011</t>
  </si>
  <si>
    <t xml:space="preserve">SKU-1021</t>
  </si>
  <si>
    <t xml:space="preserve">SKU-1001</t>
  </si>
  <si>
    <t xml:space="preserve">SKU-1023</t>
  </si>
  <si>
    <t xml:space="preserve">SKU-1022</t>
  </si>
  <si>
    <t xml:space="preserve">SKU-1013</t>
  </si>
  <si>
    <t xml:space="preserve">SKU-1015</t>
  </si>
  <si>
    <t xml:space="preserve">37</t>
  </si>
  <si>
    <t xml:space="preserve">27</t>
  </si>
  <si>
    <t xml:space="preserve">SKU-1016</t>
  </si>
  <si>
    <t xml:space="preserve">SKU-1009</t>
  </si>
  <si>
    <t xml:space="preserve">SKU-1002</t>
  </si>
  <si>
    <t xml:space="preserve">SKU-1010</t>
  </si>
  <si>
    <t xml:space="preserve">SKU-1018</t>
  </si>
  <si>
    <t xml:space="preserve">SKU-1008</t>
  </si>
  <si>
    <t xml:space="preserve">35</t>
  </si>
  <si>
    <t xml:space="preserve">Product Name</t>
  </si>
  <si>
    <t xml:space="preserve">Category</t>
  </si>
  <si>
    <t xml:space="preserve">List Price</t>
  </si>
  <si>
    <t xml:space="preserve">Hardware item 1</t>
  </si>
  <si>
    <t xml:space="preserve">Hardware</t>
  </si>
  <si>
    <t xml:space="preserve">Software item 2</t>
  </si>
  <si>
    <t xml:space="preserve">Software</t>
  </si>
  <si>
    <t xml:space="preserve">Services item 3</t>
  </si>
  <si>
    <t xml:space="preserve">Services</t>
  </si>
  <si>
    <t xml:space="preserve">Hardware item 4</t>
  </si>
  <si>
    <t xml:space="preserve">Software item 5</t>
  </si>
  <si>
    <t xml:space="preserve">Services item 6</t>
  </si>
  <si>
    <t xml:space="preserve">Hardware item 7</t>
  </si>
  <si>
    <t xml:space="preserve">Software item 8</t>
  </si>
  <si>
    <t xml:space="preserve">Services item 9</t>
  </si>
  <si>
    <t xml:space="preserve">Hardware item 10</t>
  </si>
  <si>
    <t xml:space="preserve">Software item 11</t>
  </si>
  <si>
    <t xml:space="preserve">Services item 12</t>
  </si>
  <si>
    <t xml:space="preserve">Hardware item 13</t>
  </si>
  <si>
    <t xml:space="preserve">Software item 14</t>
  </si>
  <si>
    <t xml:space="preserve">Services item 15</t>
  </si>
  <si>
    <t xml:space="preserve">Hardware item 16</t>
  </si>
  <si>
    <t xml:space="preserve">Software item 17</t>
  </si>
  <si>
    <t xml:space="preserve">Services item 18</t>
  </si>
  <si>
    <t xml:space="preserve">Hardware item 19</t>
  </si>
  <si>
    <t xml:space="preserve">Software item 20</t>
  </si>
  <si>
    <t xml:space="preserve">Services item 21</t>
  </si>
  <si>
    <t xml:space="preserve">Hardware item 22</t>
  </si>
  <si>
    <t xml:space="preserve">Software item 23</t>
  </si>
  <si>
    <t xml:space="preserve">Services item 24</t>
  </si>
  <si>
    <t xml:space="preserve">Hardware item 25</t>
  </si>
  <si>
    <t xml:space="preserve">Name</t>
  </si>
  <si>
    <t xml:space="preserve">Email</t>
  </si>
  <si>
    <t xml:space="preserve">Segment</t>
  </si>
  <si>
    <t xml:space="preserve">Country</t>
  </si>
  <si>
    <t xml:space="preserve">Signup Date</t>
  </si>
  <si>
    <t xml:space="preserve">Omar Garcia</t>
  </si>
  <si>
    <t xml:space="preserve">omar.garcia1@example.com</t>
  </si>
  <si>
    <t xml:space="preserve">SMB</t>
  </si>
  <si>
    <t xml:space="preserve">US</t>
  </si>
  <si>
    <t xml:space="preserve">Iris Okafor</t>
  </si>
  <si>
    <t xml:space="preserve">iris.okafor2@example.com</t>
  </si>
  <si>
    <t xml:space="preserve">Consumer</t>
  </si>
  <si>
    <t xml:space="preserve">DE</t>
  </si>
  <si>
    <t xml:space="preserve">Zoe Kim</t>
  </si>
  <si>
    <t xml:space="preserve">zoe.kim3@example.com</t>
  </si>
  <si>
    <t xml:space="preserve">Sofia Chen</t>
  </si>
  <si>
    <t xml:space="preserve">sofia.chen4@example.com</t>
  </si>
  <si>
    <t xml:space="preserve">Enterprise</t>
  </si>
  <si>
    <t xml:space="preserve">Zoe Okafor</t>
  </si>
  <si>
    <t xml:space="preserve">zoe.okafor5@example.com</t>
  </si>
  <si>
    <t xml:space="preserve">GB</t>
  </si>
  <si>
    <t xml:space="preserve">Maya Nguyen</t>
  </si>
  <si>
    <t xml:space="preserve">maya.nguyen6@example.com</t>
  </si>
  <si>
    <t xml:space="preserve">Zoe Chen</t>
  </si>
  <si>
    <t xml:space="preserve">zoe.chen7@example.com</t>
  </si>
  <si>
    <t xml:space="preserve">Omar Nguyen</t>
  </si>
  <si>
    <t xml:space="preserve">omar.nguyen8@example.com</t>
  </si>
  <si>
    <t xml:space="preserve">Priya Novak</t>
  </si>
  <si>
    <t xml:space="preserve">priya.novak9@example.com</t>
  </si>
  <si>
    <t xml:space="preserve">Leo Rossi</t>
  </si>
  <si>
    <t xml:space="preserve">leo.rossi10@example.com</t>
  </si>
  <si>
    <t xml:space="preserve">Ravi Kim</t>
  </si>
  <si>
    <t xml:space="preserve">ravi.kim11@example.com</t>
  </si>
  <si>
    <t xml:space="preserve">Lena Silva</t>
  </si>
  <si>
    <t xml:space="preserve">lena.silva12@example.com</t>
  </si>
  <si>
    <t xml:space="preserve">Iris Rossi</t>
  </si>
  <si>
    <t xml:space="preserve">iris.rossi13@example.com</t>
  </si>
  <si>
    <t xml:space="preserve">Sofia Okafor</t>
  </si>
  <si>
    <t xml:space="preserve">sofia.okafor14@example.com</t>
  </si>
  <si>
    <t xml:space="preserve">Nora Nguyen</t>
  </si>
  <si>
    <t xml:space="preserve">nora.nguyen15@example.com</t>
  </si>
  <si>
    <t xml:space="preserve">Zoe Garcia</t>
  </si>
  <si>
    <t xml:space="preserve">zoe.garcia16@example.com</t>
  </si>
  <si>
    <t xml:space="preserve">Maya Silva</t>
  </si>
  <si>
    <t xml:space="preserve">maya.silva17@example.com</t>
  </si>
  <si>
    <t xml:space="preserve">CA</t>
  </si>
  <si>
    <t xml:space="preserve">Ethan Smith</t>
  </si>
  <si>
    <t xml:space="preserve">ethan.smith18@example.com</t>
  </si>
  <si>
    <t xml:space="preserve">Noah Novak</t>
  </si>
  <si>
    <t xml:space="preserve">noah.novak19@example.com</t>
  </si>
  <si>
    <t xml:space="preserve">Ava Novak</t>
  </si>
  <si>
    <t xml:space="preserve">ava.novak20@example.com</t>
  </si>
  <si>
    <t xml:space="preserve">Sofia Patel</t>
  </si>
  <si>
    <t xml:space="preserve">sofia.patel21@example.com</t>
  </si>
  <si>
    <t xml:space="preserve">Ethan Patel</t>
  </si>
  <si>
    <t xml:space="preserve">ethan.patel22@example.com</t>
  </si>
  <si>
    <t xml:space="preserve">Iris Novak</t>
  </si>
  <si>
    <t xml:space="preserve">iris.novak23@example.com</t>
  </si>
  <si>
    <t xml:space="preserve">Priya Smith</t>
  </si>
  <si>
    <t xml:space="preserve">priya.smith24@example.com</t>
  </si>
  <si>
    <t xml:space="preserve">Priya Chen</t>
  </si>
  <si>
    <t xml:space="preserve">priya.chen25@example.com</t>
  </si>
  <si>
    <t xml:space="preserve">Nora Novak</t>
  </si>
  <si>
    <t xml:space="preserve">nora.novak26@example.com</t>
  </si>
  <si>
    <t xml:space="preserve">zoe.garcia27@example.com</t>
  </si>
  <si>
    <t xml:space="preserve">Iris Smith</t>
  </si>
  <si>
    <t xml:space="preserve">iris.smith28@example.com</t>
  </si>
  <si>
    <t xml:space="preserve">Ava Nguyen</t>
  </si>
  <si>
    <t xml:space="preserve">ava.nguyen29@example.com</t>
  </si>
  <si>
    <t xml:space="preserve">Omar Silva</t>
  </si>
  <si>
    <t xml:space="preserve">omar.silva30@example.com</t>
  </si>
  <si>
    <t xml:space="preserve">iris.novak31@example.com</t>
  </si>
  <si>
    <t xml:space="preserve">Liam Rossi</t>
  </si>
  <si>
    <t xml:space="preserve">liam.rossi32@example.com</t>
  </si>
  <si>
    <t xml:space="preserve">Sofia Silva</t>
  </si>
  <si>
    <t xml:space="preserve">sofia.silva33@example.com</t>
  </si>
  <si>
    <t xml:space="preserve">Ethan Garcia</t>
  </si>
  <si>
    <t xml:space="preserve">ethan.garcia34@example.com</t>
  </si>
  <si>
    <t xml:space="preserve">Maya Smith</t>
  </si>
  <si>
    <t xml:space="preserve">maya.smith35@example.com</t>
  </si>
  <si>
    <t xml:space="preserve">ravi.kim36@example.com</t>
  </si>
  <si>
    <t xml:space="preserve">Priya Rossi</t>
  </si>
  <si>
    <t xml:space="preserve">priya.rossi37@example.com</t>
  </si>
  <si>
    <t xml:space="preserve">Sofia Smith</t>
  </si>
  <si>
    <t xml:space="preserve">sofia.smith38@example.com</t>
  </si>
  <si>
    <t xml:space="preserve">Kai Rossi</t>
  </si>
  <si>
    <t xml:space="preserve">kai.rossi39@example.com</t>
  </si>
  <si>
    <t xml:space="preserve">Noah Patel</t>
  </si>
  <si>
    <t xml:space="preserve">noah.patel40@example.com</t>
  </si>
  <si>
    <t xml:space="preserve">Lena Garcia</t>
  </si>
  <si>
    <t xml:space="preserve">lena.garcia41@example.com</t>
  </si>
  <si>
    <t xml:space="preserve">zoe.garcia42@example.com</t>
  </si>
  <si>
    <t xml:space="preserve">Leo Nguyen</t>
  </si>
  <si>
    <t xml:space="preserve">leo.nguyen43@example.com</t>
  </si>
  <si>
    <t xml:space="preserve">Lena Rossi</t>
  </si>
  <si>
    <t xml:space="preserve">lena.rossi44@example.com</t>
  </si>
  <si>
    <t xml:space="preserve">Ava Silva</t>
  </si>
  <si>
    <t xml:space="preserve">ava.silva45@example.com</t>
  </si>
  <si>
    <t xml:space="preserve">Leo Chen</t>
  </si>
  <si>
    <t xml:space="preserve">leo.chen46@example.com</t>
  </si>
  <si>
    <t xml:space="preserve">omar.silva47@example.com</t>
  </si>
  <si>
    <t xml:space="preserve">Kai Chen</t>
  </si>
  <si>
    <t xml:space="preserve">kai.chen48@example.com</t>
  </si>
  <si>
    <t xml:space="preserve">Nora Kim</t>
  </si>
  <si>
    <t xml:space="preserve">nora.kim49@example.com</t>
  </si>
  <si>
    <t xml:space="preserve">omar.garcia50@example.com</t>
  </si>
  <si>
    <t xml:space="preserve">leo.chen51@example.com</t>
  </si>
  <si>
    <t xml:space="preserve">Iris Chen</t>
  </si>
  <si>
    <t xml:space="preserve">iris.chen52@example.com</t>
  </si>
  <si>
    <t xml:space="preserve">lena.rossi53@example.com</t>
  </si>
  <si>
    <t xml:space="preserve">lena.rossi54@example.com</t>
  </si>
  <si>
    <t xml:space="preserve">Sofia Kim</t>
  </si>
  <si>
    <t xml:space="preserve">sofia.kim55@example.com</t>
  </si>
  <si>
    <t xml:space="preserve">maya.silva56@example.com</t>
  </si>
  <si>
    <t xml:space="preserve">Lena Kim</t>
  </si>
  <si>
    <t xml:space="preserve">lena.kim57@example.com</t>
  </si>
  <si>
    <t xml:space="preserve">nora.kim58@example.com</t>
  </si>
  <si>
    <t xml:space="preserve">Kai Patel</t>
  </si>
  <si>
    <t xml:space="preserve">kai.patel59@example.com</t>
  </si>
  <si>
    <t xml:space="preserve">maya.smith60@example.com</t>
  </si>
  <si>
    <t xml:space="preserve">Sofia Garcia</t>
  </si>
  <si>
    <t xml:space="preserve">sofia.garcia61@example.com</t>
  </si>
  <si>
    <t xml:space="preserve">Lena Patel</t>
  </si>
  <si>
    <t xml:space="preserve">lena.patel62@example.com</t>
  </si>
  <si>
    <t xml:space="preserve">iris.rossi63@example.com</t>
  </si>
  <si>
    <t xml:space="preserve">Owen Kim</t>
  </si>
  <si>
    <t xml:space="preserve">owen.kim64@example.com</t>
  </si>
  <si>
    <t xml:space="preserve">noah.novak65@example.com</t>
  </si>
  <si>
    <t xml:space="preserve">nora.novak66@example.com</t>
  </si>
  <si>
    <t xml:space="preserve">Omar Novak</t>
  </si>
  <si>
    <t xml:space="preserve">omar.novak67@example.com</t>
  </si>
  <si>
    <t xml:space="preserve">Zoe Rossi</t>
  </si>
  <si>
    <t xml:space="preserve">zoe.rossi68@example.com</t>
  </si>
  <si>
    <t xml:space="preserve">Sofia Rossi</t>
  </si>
  <si>
    <t xml:space="preserve">sofia.rossi69@example.com</t>
  </si>
  <si>
    <t xml:space="preserve">sofia.silva70@example.com</t>
  </si>
  <si>
    <t xml:space="preserve">lena.rossi71@example.com</t>
  </si>
  <si>
    <t xml:space="preserve">Ethan Silva</t>
  </si>
  <si>
    <t xml:space="preserve">ethan.silva72@example.com</t>
  </si>
  <si>
    <t xml:space="preserve">zoe.rossi73@example.com</t>
  </si>
  <si>
    <t xml:space="preserve">Zoe Smith</t>
  </si>
  <si>
    <t xml:space="preserve">zoe.smith74@example.com</t>
  </si>
  <si>
    <t xml:space="preserve">lena.patel75@example.com</t>
  </si>
  <si>
    <t xml:space="preserve">Noah Rossi</t>
  </si>
  <si>
    <t xml:space="preserve">noah.rossi76@example.com</t>
  </si>
  <si>
    <t xml:space="preserve">Owen Smith</t>
  </si>
  <si>
    <t xml:space="preserve">owen.smith77@example.com</t>
  </si>
  <si>
    <t xml:space="preserve">Priya Okafor</t>
  </si>
  <si>
    <t xml:space="preserve">priya.okafor78@example.com</t>
  </si>
  <si>
    <t xml:space="preserve">Priya Silva</t>
  </si>
  <si>
    <t xml:space="preserve">priya.silva79@example.com</t>
  </si>
  <si>
    <t xml:space="preserve">Ravi Smith</t>
  </si>
  <si>
    <t xml:space="preserve">ravi.smith80@example.com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</si>
  <si>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</si>
  <si>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</si>
  <si>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</si>
  <si>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</si>
  <si>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</si>
  <si>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</si>
  <si>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</si>
  <si>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</si>
  <si>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</si>
  <si>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</si>
  <si>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</si>
  <si>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</si>
  <si>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EUR/USD</t>
  </si>
  <si>
    <t xml:space="preserve">Counts As Sale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</si>
</sst>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\$#,##0.00"/>
    <numFmt numFmtId="167" formatCode="0.0%"/>
    <numFmt numFmtId="168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blCustomers" displayName="tblCustomers" ref="A1:F81" headerRowCount="1" totalsRowCount="0" totalsRowShown="0">
  <autoFilter ref="A1:F81"/>
  <tableColumns count="6">
    <tableColumn id="1" name="Customer ID"/>
    <tableColumn id="2" name="Name"/>
    <tableColumn id="3" name="Email"/>
    <tableColumn id="4" name="Segment"/>
    <tableColumn id="5" name="Country"/>
    <tableColumn id="6" name="Signup Dat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0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</row>
    <row r="4" customFormat="false" ht="15" hidden="false" customHeight="false" outlineLevel="0" collapsed="false">
      <c r="A4" s="0" t="n">
        <v>10000</v>
      </c>
      <c r="B4" s="3" t="n">
        <v>45372</v>
      </c>
      <c r="C4" s="0" t="n">
        <v>47</v>
      </c>
      <c r="D4" s="4" t="s">
        <v>13</v>
      </c>
      <c r="E4" s="4" t="s">
        <v>14</v>
      </c>
      <c r="F4" s="0" t="n">
        <v>33</v>
      </c>
      <c r="G4" s="5" t="n">
        <v>93.03</v>
      </c>
      <c r="H4" s="6" t="n">
        <v>0.05</v>
      </c>
      <c r="I4" s="5" t="n">
        <f aca="false">F4*G4*(1-H4)</f>
        <v>2916.4905</v>
      </c>
      <c r="J4" s="4" t="s">
        <v>15</v>
      </c>
      <c r="K4" s="5" t="n">
        <f aca="false">VLOOKUP(D4,Products!$A$2:$E$26,4,FALSE())</f>
        <v>39.86</v>
      </c>
      <c r="L4" s="6" t="n">
        <f aca="false">(I4-F4*K4)/I4</f>
        <v>0.548985330142512</v>
      </c>
    </row>
    <row r="5" customFormat="false" ht="15" hidden="false" customHeight="false" outlineLevel="0" collapsed="false">
      <c r="A5" s="0" t="n">
        <v>10001</v>
      </c>
      <c r="B5" s="3" t="n">
        <v>45459</v>
      </c>
      <c r="C5" s="0" t="n">
        <v>35</v>
      </c>
      <c r="D5" s="4" t="s">
        <v>16</v>
      </c>
      <c r="E5" s="4" t="s">
        <v>14</v>
      </c>
      <c r="F5" s="0" t="n">
        <v>13</v>
      </c>
      <c r="G5" s="5" t="n">
        <v>139.19</v>
      </c>
      <c r="H5" s="6" t="n">
        <v>0</v>
      </c>
      <c r="I5" s="5" t="n">
        <f aca="false">F5*G5*(1-H5)</f>
        <v>1809.47</v>
      </c>
      <c r="J5" s="4" t="s">
        <v>15</v>
      </c>
      <c r="K5" s="5" t="n">
        <f aca="false">VLOOKUP(D5,Products!$A$2:$E$26,4,FALSE())</f>
        <v>72.1</v>
      </c>
      <c r="L5" s="6" t="n">
        <f aca="false">(I5-F5*K5)/I5</f>
        <v>0.482003017458151</v>
      </c>
    </row>
    <row r="6" customFormat="false" ht="15" hidden="false" customHeight="false" outlineLevel="0" collapsed="false">
      <c r="A6" s="0" t="n">
        <v>10002</v>
      </c>
      <c r="B6" s="3" t="n">
        <v>45333</v>
      </c>
      <c r="C6" s="0" t="n">
        <v>55</v>
      </c>
      <c r="D6" s="4" t="s">
        <v>17</v>
      </c>
      <c r="E6" s="4" t="s">
        <v>14</v>
      </c>
      <c r="F6" s="0" t="n">
        <v>4</v>
      </c>
      <c r="G6" s="5" t="n">
        <v>89.24</v>
      </c>
      <c r="H6" s="6" t="n">
        <v>0</v>
      </c>
      <c r="I6" s="5" t="n">
        <f aca="false">F6*G6*(1-H6)</f>
        <v>356.96</v>
      </c>
      <c r="J6" s="4" t="s">
        <v>18</v>
      </c>
      <c r="K6" s="5" t="n">
        <f aca="false">VLOOKUP(D6,Products!$A$2:$E$26,4,FALSE())</f>
        <v>38.24</v>
      </c>
      <c r="L6" s="6" t="n">
        <f aca="false">(I6-F6*K6)/I6</f>
        <v>0.571492604213357</v>
      </c>
    </row>
    <row r="7" customFormat="false" ht="15" hidden="false" customHeight="false" outlineLevel="0" collapsed="false">
      <c r="A7" s="0" t="n">
        <v>10003</v>
      </c>
      <c r="B7" s="3" t="n">
        <v>45411</v>
      </c>
      <c r="C7" s="0" t="n">
        <v>27</v>
      </c>
      <c r="D7" s="4" t="s">
        <v>19</v>
      </c>
      <c r="E7" s="4" t="s">
        <v>20</v>
      </c>
      <c r="F7" s="0" t="n">
        <v>34</v>
      </c>
      <c r="G7" s="5" t="n">
        <v>216.62</v>
      </c>
      <c r="H7" s="6" t="n">
        <v>0.1</v>
      </c>
      <c r="I7" s="5" t="n">
        <f aca="false">F7*G7*(1-H7)</f>
        <v>6628.572</v>
      </c>
      <c r="J7" s="4" t="s">
        <v>18</v>
      </c>
      <c r="K7" s="5" t="n">
        <f aca="false">VLOOKUP(D7,Products!$A$2:$E$26,4,FALSE())</f>
        <v>83.93</v>
      </c>
      <c r="L7" s="6" t="n">
        <f aca="false">(I7-F7*K7)/I7</f>
        <v>0.569497019870947</v>
      </c>
    </row>
    <row r="8" customFormat="false" ht="15" hidden="false" customHeight="false" outlineLevel="0" collapsed="false">
      <c r="A8" s="0" t="n">
        <v>10004</v>
      </c>
      <c r="B8" s="3" t="n">
        <v>45638</v>
      </c>
      <c r="C8" s="0" t="n">
        <v>39</v>
      </c>
      <c r="D8" s="4" t="s">
        <v>13</v>
      </c>
      <c r="E8" s="4" t="s">
        <v>21</v>
      </c>
      <c r="F8" s="0" t="n">
        <v>32</v>
      </c>
      <c r="G8" s="5" t="n">
        <v>94.57</v>
      </c>
      <c r="H8" s="6" t="n">
        <v>0</v>
      </c>
      <c r="I8" s="5" t="n">
        <f aca="false">F8*G8*(1-H8)</f>
        <v>3026.24</v>
      </c>
      <c r="J8" s="4" t="s">
        <v>15</v>
      </c>
      <c r="K8" s="5" t="n">
        <f aca="false">VLOOKUP(D8,Products!$A$2:$E$26,4,FALSE())</f>
        <v>39.86</v>
      </c>
      <c r="L8" s="6" t="n">
        <f aca="false">(I8-F8*K8)/I8</f>
        <v>0.578513270593211</v>
      </c>
    </row>
    <row r="9" customFormat="false" ht="15" hidden="false" customHeight="false" outlineLevel="0" collapsed="false">
      <c r="A9" s="0" t="n">
        <v>10005</v>
      </c>
      <c r="B9" s="3" t="n">
        <v>45452</v>
      </c>
      <c r="C9" s="0" t="n">
        <v>61</v>
      </c>
      <c r="D9" s="4" t="s">
        <v>16</v>
      </c>
      <c r="E9" s="4" t="s">
        <v>20</v>
      </c>
      <c r="F9" s="0" t="n">
        <v>16</v>
      </c>
      <c r="G9" s="5" t="n">
        <v>141.9</v>
      </c>
      <c r="H9" s="6" t="n">
        <v>0</v>
      </c>
      <c r="I9" s="5" t="n">
        <f aca="false">F9*G9*(1-H9)</f>
        <v>2270.4</v>
      </c>
      <c r="J9" s="4" t="s">
        <v>18</v>
      </c>
      <c r="K9" s="5" t="n">
        <f aca="false">VLOOKUP(D9,Products!$A$2:$E$26,4,FALSE())</f>
        <v>72.1</v>
      </c>
      <c r="L9" s="6" t="n">
        <f aca="false">(I9-F9*K9)/I9</f>
        <v>0.491895701198027</v>
      </c>
    </row>
    <row r="10" customFormat="false" ht="15" hidden="false" customHeight="false" outlineLevel="0" collapsed="false">
      <c r="A10" s="0" t="n">
        <v>10006</v>
      </c>
      <c r="B10" s="3" t="n">
        <v>45468</v>
      </c>
      <c r="C10" s="0" t="n">
        <v>80</v>
      </c>
      <c r="D10" s="4" t="s">
        <v>22</v>
      </c>
      <c r="E10" s="4" t="s">
        <v>21</v>
      </c>
      <c r="F10" s="0" t="n">
        <v>35</v>
      </c>
      <c r="G10" s="5" t="n">
        <v>47.47</v>
      </c>
      <c r="H10" s="6" t="n">
        <v>0.1</v>
      </c>
      <c r="I10" s="5" t="n">
        <f aca="false">F10*G10*(1-H10)</f>
        <v>1495.305</v>
      </c>
      <c r="J10" s="4" t="s">
        <v>15</v>
      </c>
      <c r="K10" s="5" t="n">
        <f aca="false">VLOOKUP(D10,Products!$A$2:$E$26,4,FALSE())</f>
        <v>26.06</v>
      </c>
      <c r="L10" s="6" t="n">
        <f aca="false">(I10-F10*K10)/I10</f>
        <v>0.390024108793858</v>
      </c>
    </row>
    <row r="11" customFormat="false" ht="15" hidden="false" customHeight="false" outlineLevel="0" collapsed="false">
      <c r="A11" s="0" t="n">
        <v>10007</v>
      </c>
      <c r="B11" s="3" t="n">
        <v>45437</v>
      </c>
      <c r="C11" s="0" t="n">
        <v>80</v>
      </c>
      <c r="D11" s="4" t="s">
        <v>23</v>
      </c>
      <c r="E11" s="4" t="s">
        <v>24</v>
      </c>
      <c r="F11" s="0" t="n">
        <v>21</v>
      </c>
      <c r="G11" s="5" t="n">
        <v>125</v>
      </c>
      <c r="H11" s="6" t="n">
        <v>0</v>
      </c>
      <c r="I11" s="5" t="n">
        <f aca="false">F11*G11*(1-H11)</f>
        <v>2625</v>
      </c>
      <c r="J11" s="4" t="s">
        <v>15</v>
      </c>
      <c r="K11" s="5" t="n">
        <f aca="false">VLOOKUP(D11,Products!$A$2:$E$26,4,FALSE())</f>
        <v>75.38</v>
      </c>
      <c r="L11" s="6" t="n">
        <f aca="false">(I11-F11*K11)/I11</f>
        <v>0.39696</v>
      </c>
    </row>
    <row r="12" customFormat="false" ht="15" hidden="false" customHeight="false" outlineLevel="0" collapsed="false">
      <c r="A12" s="0" t="n">
        <v>10008</v>
      </c>
      <c r="B12" s="3" t="n">
        <v>45319</v>
      </c>
      <c r="C12" s="0" t="n">
        <v>13</v>
      </c>
      <c r="D12" s="4" t="s">
        <v>25</v>
      </c>
      <c r="E12" s="4" t="s">
        <v>24</v>
      </c>
      <c r="F12" s="0" t="n">
        <v>31</v>
      </c>
      <c r="G12" s="5" t="n">
        <v>206.69</v>
      </c>
      <c r="H12" s="6" t="n">
        <v>0.15</v>
      </c>
      <c r="I12" s="5" t="n">
        <f aca="false">F12*G12*(1-H12)</f>
        <v>5446.2815</v>
      </c>
      <c r="J12" s="4" t="s">
        <v>15</v>
      </c>
      <c r="K12" s="5" t="n">
        <f aca="false">VLOOKUP(D12,Products!$A$2:$E$26,4,FALSE())</f>
        <v>128.85</v>
      </c>
      <c r="L12" s="6" t="n">
        <f aca="false">(I12-F12*K12)/I12</f>
        <v>0.266591343102629</v>
      </c>
    </row>
    <row r="13" customFormat="false" ht="15" hidden="false" customHeight="false" outlineLevel="0" collapsed="false">
      <c r="A13" s="0" t="n">
        <v>10009</v>
      </c>
      <c r="B13" s="3" t="n">
        <v>45504</v>
      </c>
      <c r="C13" s="0" t="n">
        <v>18</v>
      </c>
      <c r="D13" s="4" t="s">
        <v>22</v>
      </c>
      <c r="E13" s="4" t="s">
        <v>21</v>
      </c>
      <c r="F13" s="0" t="n">
        <v>24</v>
      </c>
      <c r="G13" s="5" t="n">
        <v>47.83</v>
      </c>
      <c r="H13" s="6" t="n">
        <v>0</v>
      </c>
      <c r="I13" s="5" t="n">
        <f aca="false">F13*G13*(1-H13)</f>
        <v>1147.92</v>
      </c>
      <c r="J13" s="4" t="s">
        <v>15</v>
      </c>
      <c r="K13" s="5" t="n">
        <f aca="false">VLOOKUP(D13,Products!$A$2:$E$26,4,FALSE())</f>
        <v>26.06</v>
      </c>
      <c r="L13" s="6" t="n">
        <f aca="false">(I13-F13*K13)/I13</f>
        <v>0.455153669245244</v>
      </c>
    </row>
    <row r="14" customFormat="false" ht="15" hidden="false" customHeight="false" outlineLevel="0" collapsed="false">
      <c r="A14" s="0" t="n">
        <v>10010</v>
      </c>
      <c r="B14" s="3" t="n">
        <v>45596</v>
      </c>
      <c r="C14" s="0" t="n">
        <v>58</v>
      </c>
      <c r="D14" s="4" t="s">
        <v>26</v>
      </c>
      <c r="E14" s="4" t="s">
        <v>24</v>
      </c>
      <c r="F14" s="0" t="n">
        <v>21</v>
      </c>
      <c r="G14" s="5" t="n">
        <v>53.86</v>
      </c>
      <c r="H14" s="6" t="n">
        <v>0</v>
      </c>
      <c r="I14" s="5" t="n">
        <f aca="false">F14*G14*(1-H14)</f>
        <v>1131.06</v>
      </c>
      <c r="J14" s="4" t="s">
        <v>18</v>
      </c>
      <c r="K14" s="5" t="n">
        <f aca="false">VLOOKUP(D14,Products!$A$2:$E$26,4,FALSE())</f>
        <v>22.68</v>
      </c>
      <c r="L14" s="6" t="n">
        <f aca="false">(I14-F14*K14)/I14</f>
        <v>0.578908280727813</v>
      </c>
    </row>
    <row r="15" customFormat="false" ht="15" hidden="false" customHeight="false" outlineLevel="0" collapsed="false">
      <c r="A15" s="0" t="n">
        <v>10011</v>
      </c>
      <c r="B15" s="3" t="n">
        <v>45552</v>
      </c>
      <c r="C15" s="0" t="n">
        <v>57</v>
      </c>
      <c r="D15" s="4" t="s">
        <v>27</v>
      </c>
      <c r="E15" s="4" t="s">
        <v>24</v>
      </c>
      <c r="F15" s="0" t="n">
        <v>13</v>
      </c>
      <c r="G15" s="5" t="n">
        <v>115.73</v>
      </c>
      <c r="H15" s="6" t="n">
        <v>0</v>
      </c>
      <c r="I15" s="5" t="n">
        <f aca="false">F15*G15*(1-H15)</f>
        <v>1504.49</v>
      </c>
      <c r="J15" s="4" t="s">
        <v>28</v>
      </c>
      <c r="K15" s="5" t="n">
        <f aca="false">VLOOKUP(D15,Products!$A$2:$E$26,4,FALSE())</f>
        <v>45.07</v>
      </c>
      <c r="L15" s="6" t="n">
        <f aca="false">(I15-F15*K15)/I15</f>
        <v>0.610559059880757</v>
      </c>
    </row>
    <row r="16" customFormat="false" ht="15" hidden="false" customHeight="false" outlineLevel="0" collapsed="false">
      <c r="A16" s="0" t="n">
        <v>10012</v>
      </c>
      <c r="B16" s="3" t="n">
        <v>45314</v>
      </c>
      <c r="C16" s="0" t="n">
        <v>64</v>
      </c>
      <c r="D16" s="4" t="s">
        <v>29</v>
      </c>
      <c r="E16" s="4" t="s">
        <v>24</v>
      </c>
      <c r="F16" s="0" t="n">
        <v>29</v>
      </c>
      <c r="G16" s="5" t="n">
        <v>80.93</v>
      </c>
      <c r="H16" s="6" t="n">
        <v>0.15</v>
      </c>
      <c r="I16" s="5" t="n">
        <f aca="false">F16*G16*(1-H16)</f>
        <v>1994.9245</v>
      </c>
      <c r="J16" s="4" t="s">
        <v>15</v>
      </c>
      <c r="K16" s="5" t="n">
        <f aca="false">VLOOKUP(D16,Products!$A$2:$E$26,4,FALSE())</f>
        <v>38.68</v>
      </c>
      <c r="L16" s="6" t="n">
        <f aca="false">(I16-F16*K16)/I16</f>
        <v>0.437713056308647</v>
      </c>
    </row>
    <row r="17" customFormat="false" ht="15" hidden="false" customHeight="false" outlineLevel="0" collapsed="false">
      <c r="A17" s="0" t="n">
        <v>10013</v>
      </c>
      <c r="B17" s="3" t="n">
        <v>45351</v>
      </c>
      <c r="C17" s="0" t="n">
        <v>68</v>
      </c>
      <c r="D17" s="4" t="s">
        <v>13</v>
      </c>
      <c r="E17" s="4" t="s">
        <v>20</v>
      </c>
      <c r="F17" s="0" t="n">
        <v>5</v>
      </c>
      <c r="G17" s="5" t="n">
        <v>94.15</v>
      </c>
      <c r="H17" s="6" t="n">
        <v>0</v>
      </c>
      <c r="I17" s="5" t="n">
        <f aca="false">F17*G17*(1-H17)</f>
        <v>470.75</v>
      </c>
      <c r="J17" s="4" t="s">
        <v>28</v>
      </c>
      <c r="K17" s="5" t="n">
        <f aca="false">VLOOKUP(D17,Products!$A$2:$E$26,4,FALSE())</f>
        <v>39.86</v>
      </c>
      <c r="L17" s="6" t="n">
        <f aca="false">(I17-F17*K17)/I17</f>
        <v>0.576633032395114</v>
      </c>
    </row>
    <row r="18" customFormat="false" ht="15" hidden="false" customHeight="false" outlineLevel="0" collapsed="false">
      <c r="A18" s="0" t="n">
        <v>10014</v>
      </c>
      <c r="B18" s="3" t="n">
        <v>45539</v>
      </c>
      <c r="C18" s="0" t="n">
        <v>47</v>
      </c>
      <c r="D18" s="4" t="s">
        <v>16</v>
      </c>
      <c r="E18" s="4" t="s">
        <v>24</v>
      </c>
      <c r="F18" s="0" t="n">
        <v>5</v>
      </c>
      <c r="G18" s="5" t="n">
        <v>149.57</v>
      </c>
      <c r="H18" s="6" t="n">
        <v>0</v>
      </c>
      <c r="I18" s="5" t="n">
        <f aca="false">F18*G18*(1-H18)</f>
        <v>747.85</v>
      </c>
      <c r="J18" s="4" t="s">
        <v>28</v>
      </c>
      <c r="K18" s="5" t="n">
        <f aca="false">VLOOKUP(D18,Products!$A$2:$E$26,4,FALSE())</f>
        <v>72.1</v>
      </c>
      <c r="L18" s="6" t="n">
        <f aca="false">(I18-F18*K18)/I18</f>
        <v>0.517951460854449</v>
      </c>
    </row>
    <row r="19" customFormat="false" ht="15" hidden="false" customHeight="false" outlineLevel="0" collapsed="false">
      <c r="A19" s="0" t="n">
        <v>10015</v>
      </c>
      <c r="B19" s="3" t="n">
        <v>45548</v>
      </c>
      <c r="C19" s="0" t="n">
        <v>36</v>
      </c>
      <c r="D19" s="4" t="s">
        <v>27</v>
      </c>
      <c r="E19" s="4" t="s">
        <v>20</v>
      </c>
      <c r="F19" s="0" t="n">
        <v>27</v>
      </c>
      <c r="G19" s="5" t="n">
        <v>120.44</v>
      </c>
      <c r="H19" s="6" t="n">
        <v>0.15</v>
      </c>
      <c r="I19" s="5" t="n">
        <f aca="false">F19*G19*(1-H19)</f>
        <v>2764.098</v>
      </c>
      <c r="J19" s="4" t="s">
        <v>28</v>
      </c>
      <c r="K19" s="5" t="n">
        <f aca="false">VLOOKUP(D19,Products!$A$2:$E$26,4,FALSE())</f>
        <v>45.07</v>
      </c>
      <c r="L19" s="6" t="n">
        <f aca="false">(I19-F19*K19)/I19</f>
        <v>0.559751499404146</v>
      </c>
    </row>
    <row r="20" customFormat="false" ht="15" hidden="false" customHeight="false" outlineLevel="0" collapsed="false">
      <c r="A20" s="0" t="n">
        <v>10016</v>
      </c>
      <c r="B20" s="3" t="n">
        <v>45511</v>
      </c>
      <c r="C20" s="0" t="n">
        <v>32</v>
      </c>
      <c r="D20" s="4" t="s">
        <v>23</v>
      </c>
      <c r="E20" s="4" t="s">
        <v>21</v>
      </c>
      <c r="F20" s="0" t="n">
        <v>34</v>
      </c>
      <c r="G20" s="5" t="n">
        <v>127.78</v>
      </c>
      <c r="H20" s="6" t="n">
        <v>0.15</v>
      </c>
      <c r="I20" s="5" t="n">
        <f aca="false">F20*G20*(1-H20)</f>
        <v>3692.842</v>
      </c>
      <c r="J20" s="4" t="s">
        <v>18</v>
      </c>
      <c r="K20" s="5" t="n">
        <f aca="false">VLOOKUP(D20,Products!$A$2:$E$26,4,FALSE())</f>
        <v>75.38</v>
      </c>
      <c r="L20" s="6" t="n">
        <f aca="false">(I20-F20*K20)/I20</f>
        <v>0.305976264351413</v>
      </c>
    </row>
    <row r="21" customFormat="false" ht="15" hidden="false" customHeight="false" outlineLevel="0" collapsed="false">
      <c r="A21" s="0" t="n">
        <v>10017</v>
      </c>
      <c r="B21" s="3" t="n">
        <v>45463</v>
      </c>
      <c r="C21" s="0" t="n">
        <v>2</v>
      </c>
      <c r="D21" s="4" t="s">
        <v>30</v>
      </c>
      <c r="E21" s="4" t="s">
        <v>21</v>
      </c>
      <c r="F21" s="0" t="n">
        <v>1</v>
      </c>
      <c r="G21" s="5" t="n">
        <v>223.54</v>
      </c>
      <c r="H21" s="6" t="n">
        <v>0</v>
      </c>
      <c r="I21" s="5" t="n">
        <f aca="false">F21*G21*(1-H21)</f>
        <v>223.54</v>
      </c>
      <c r="J21" s="4" t="s">
        <v>15</v>
      </c>
      <c r="K21" s="5" t="n">
        <f aca="false">VLOOKUP(D21,Products!$A$2:$E$26,4,FALSE())</f>
        <v>97.8</v>
      </c>
      <c r="L21" s="6" t="n">
        <f aca="false">(I21-F21*K21)/I21</f>
        <v>0.562494408159614</v>
      </c>
    </row>
    <row r="22" customFormat="false" ht="15" hidden="false" customHeight="false" outlineLevel="0" collapsed="false">
      <c r="A22" s="0" t="n">
        <v>10018</v>
      </c>
      <c r="B22" s="3" t="n">
        <v>45313</v>
      </c>
      <c r="C22" s="0" t="n">
        <v>67</v>
      </c>
      <c r="D22" s="4" t="s">
        <v>31</v>
      </c>
      <c r="E22" s="4" t="s">
        <v>20</v>
      </c>
      <c r="F22" s="0" t="n">
        <v>18</v>
      </c>
      <c r="G22" s="5" t="n">
        <v>45.54</v>
      </c>
      <c r="H22" s="6" t="n">
        <v>0</v>
      </c>
      <c r="I22" s="5" t="n">
        <f aca="false">F22*G22*(1-H22)</f>
        <v>819.72</v>
      </c>
      <c r="J22" s="4" t="s">
        <v>15</v>
      </c>
      <c r="K22" s="5" t="n">
        <f aca="false">VLOOKUP(D22,Products!$A$2:$E$26,4,FALSE())</f>
        <v>23.25</v>
      </c>
      <c r="L22" s="6" t="n">
        <f aca="false">(I22-F22*K22)/I22</f>
        <v>0.489459815546772</v>
      </c>
    </row>
    <row r="23" customFormat="false" ht="15" hidden="false" customHeight="false" outlineLevel="0" collapsed="false">
      <c r="A23" s="0" t="n">
        <v>10019</v>
      </c>
      <c r="B23" s="3" t="n">
        <v>45347</v>
      </c>
      <c r="C23" s="0" t="n">
        <v>11</v>
      </c>
      <c r="D23" s="4" t="s">
        <v>32</v>
      </c>
      <c r="E23" s="4" t="s">
        <v>20</v>
      </c>
      <c r="F23" s="0" t="n">
        <v>34</v>
      </c>
      <c r="G23" s="5" t="n">
        <v>350.13</v>
      </c>
      <c r="H23" s="6" t="n">
        <v>0</v>
      </c>
      <c r="I23" s="5" t="n">
        <f aca="false">F23*G23*(1-H23)</f>
        <v>11904.42</v>
      </c>
      <c r="J23" s="4" t="s">
        <v>15</v>
      </c>
      <c r="K23" s="5" t="n">
        <f aca="false">VLOOKUP(D23,Products!$A$2:$E$26,4,FALSE())</f>
        <v>144.3</v>
      </c>
      <c r="L23" s="6" t="n">
        <f aca="false">(I23-F23*K23)/I23</f>
        <v>0.587867363550681</v>
      </c>
    </row>
    <row r="24" customFormat="false" ht="15" hidden="false" customHeight="false" outlineLevel="0" collapsed="false">
      <c r="A24" s="0" t="n">
        <v>10020</v>
      </c>
      <c r="B24" s="3" t="n">
        <v>45609</v>
      </c>
      <c r="C24" s="0" t="n">
        <v>74</v>
      </c>
      <c r="D24" s="4" t="s">
        <v>23</v>
      </c>
      <c r="E24" s="4" t="s">
        <v>21</v>
      </c>
      <c r="F24" s="0" t="n">
        <v>33</v>
      </c>
      <c r="G24" s="5" t="n">
        <v>128.14</v>
      </c>
      <c r="H24" s="6" t="n">
        <v>0.1</v>
      </c>
      <c r="I24" s="5" t="n">
        <f aca="false">F24*G24*(1-H24)</f>
        <v>3805.758</v>
      </c>
      <c r="J24" s="4" t="s">
        <v>15</v>
      </c>
      <c r="K24" s="5" t="n">
        <f aca="false">VLOOKUP(D24,Products!$A$2:$E$26,4,FALSE())</f>
        <v>75.38</v>
      </c>
      <c r="L24" s="6" t="n">
        <f aca="false">(I24-F24*K24)/I24</f>
        <v>0.346374624976155</v>
      </c>
    </row>
    <row r="25" customFormat="false" ht="15" hidden="false" customHeight="false" outlineLevel="0" collapsed="false">
      <c r="A25" s="0" t="n">
        <v>10021</v>
      </c>
      <c r="B25" s="3" t="n">
        <v>45527</v>
      </c>
      <c r="C25" s="0" t="n">
        <v>19</v>
      </c>
      <c r="D25" s="4" t="s">
        <v>33</v>
      </c>
      <c r="E25" s="4" t="s">
        <v>21</v>
      </c>
      <c r="F25" s="0" t="n">
        <v>23</v>
      </c>
      <c r="G25" s="5" t="n">
        <v>42.92</v>
      </c>
      <c r="H25" s="6" t="n">
        <v>0</v>
      </c>
      <c r="I25" s="5" t="n">
        <f aca="false">F25*G25*(1-H25)</f>
        <v>987.16</v>
      </c>
      <c r="J25" s="4" t="s">
        <v>15</v>
      </c>
      <c r="K25" s="5" t="n">
        <f aca="false">VLOOKUP(D25,Products!$A$2:$E$26,4,FALSE())</f>
        <v>28.4</v>
      </c>
      <c r="L25" s="6" t="n">
        <f aca="false">(I25-F25*K25)/I25</f>
        <v>0.338303821062442</v>
      </c>
    </row>
    <row r="26" customFormat="false" ht="15" hidden="false" customHeight="false" outlineLevel="0" collapsed="false">
      <c r="A26" s="0" t="n">
        <v>10022</v>
      </c>
      <c r="B26" s="3" t="n">
        <v>45354</v>
      </c>
      <c r="C26" s="0" t="n">
        <v>19</v>
      </c>
      <c r="D26" s="4" t="s">
        <v>34</v>
      </c>
      <c r="E26" s="4" t="s">
        <v>24</v>
      </c>
      <c r="F26" s="0" t="n">
        <v>14</v>
      </c>
      <c r="G26" s="5" t="n">
        <v>20.8</v>
      </c>
      <c r="H26" s="6" t="n">
        <v>0</v>
      </c>
      <c r="I26" s="5" t="n">
        <f aca="false">F26*G26*(1-H26)</f>
        <v>291.2</v>
      </c>
      <c r="J26" s="4" t="s">
        <v>15</v>
      </c>
      <c r="K26" s="5" t="n">
        <f aca="false">VLOOKUP(D26,Products!$A$2:$E$26,4,FALSE())</f>
        <v>14.34</v>
      </c>
      <c r="L26" s="6" t="n">
        <f aca="false">(I26-F26*K26)/I26</f>
        <v>0.310576923076923</v>
      </c>
    </row>
    <row r="27" customFormat="false" ht="15" hidden="false" customHeight="false" outlineLevel="0" collapsed="false">
      <c r="A27" s="0" t="n">
        <v>10023</v>
      </c>
      <c r="B27" s="3" t="n">
        <v>45374</v>
      </c>
      <c r="C27" s="0" t="n">
        <v>11</v>
      </c>
      <c r="D27" s="4" t="s">
        <v>35</v>
      </c>
      <c r="E27" s="4" t="s">
        <v>24</v>
      </c>
      <c r="F27" s="0" t="n">
        <v>15</v>
      </c>
      <c r="G27" s="5" t="n">
        <v>376.08</v>
      </c>
      <c r="H27" s="6" t="n">
        <v>0</v>
      </c>
      <c r="I27" s="5" t="n">
        <f aca="false">F27*G27*(1-H27)</f>
        <v>5641.2</v>
      </c>
      <c r="J27" s="4" t="s">
        <v>18</v>
      </c>
      <c r="K27" s="5" t="n">
        <f aca="false">VLOOKUP(D27,Products!$A$2:$E$26,4,FALSE())</f>
        <v>244.6</v>
      </c>
      <c r="L27" s="6" t="n">
        <f aca="false">(I27-F27*K27)/I27</f>
        <v>0.349606466709211</v>
      </c>
    </row>
    <row r="28" customFormat="false" ht="15" hidden="false" customHeight="false" outlineLevel="0" collapsed="false">
      <c r="A28" s="0" t="n">
        <v>10024</v>
      </c>
      <c r="B28" s="3" t="n">
        <v>45610</v>
      </c>
      <c r="C28" s="0" t="n">
        <v>26</v>
      </c>
      <c r="D28" s="4" t="s">
        <v>36</v>
      </c>
      <c r="E28" s="4" t="s">
        <v>14</v>
      </c>
      <c r="F28" s="0" t="n">
        <v>15</v>
      </c>
      <c r="G28" s="5" t="n">
        <v>52.81</v>
      </c>
      <c r="H28" s="6" t="n">
        <v>0.05</v>
      </c>
      <c r="I28" s="5" t="n">
        <f aca="false">F28*G28*(1-H28)</f>
        <v>752.5425</v>
      </c>
      <c r="J28" s="4" t="s">
        <v>28</v>
      </c>
      <c r="K28" s="5" t="n">
        <f aca="false">VLOOKUP(D28,Products!$A$2:$E$26,4,FALSE())</f>
        <v>23.74</v>
      </c>
      <c r="L28" s="6" t="n">
        <f aca="false">(I28-F28*K28)/I28</f>
        <v>0.526804133985788</v>
      </c>
    </row>
    <row r="29" customFormat="false" ht="15" hidden="false" customHeight="false" outlineLevel="0" collapsed="false">
      <c r="A29" s="0" t="n">
        <v>10025</v>
      </c>
      <c r="B29" s="3" t="n">
        <v>45615</v>
      </c>
      <c r="C29" s="0" t="n">
        <v>68</v>
      </c>
      <c r="D29" s="4" t="s">
        <v>37</v>
      </c>
      <c r="E29" s="4" t="s">
        <v>21</v>
      </c>
      <c r="F29" s="0" t="n">
        <v>25</v>
      </c>
      <c r="G29" s="5" t="n">
        <v>8.01</v>
      </c>
      <c r="H29" s="6" t="n">
        <v>0.1</v>
      </c>
      <c r="I29" s="5" t="n">
        <f aca="false">F29*G29*(1-H29)</f>
        <v>180.225</v>
      </c>
      <c r="J29" s="4" t="s">
        <v>15</v>
      </c>
      <c r="K29" s="5" t="n">
        <f aca="false">VLOOKUP(D29,Products!$A$2:$E$26,4,FALSE())</f>
        <v>3.88</v>
      </c>
      <c r="L29" s="6" t="n">
        <f aca="false">(I29-F29*K29)/I29</f>
        <v>0.461783881259537</v>
      </c>
    </row>
    <row r="30" customFormat="false" ht="15" hidden="false" customHeight="false" outlineLevel="0" collapsed="false">
      <c r="A30" s="0" t="n">
        <v>10026</v>
      </c>
      <c r="B30" s="3" t="n">
        <v>45357</v>
      </c>
      <c r="C30" s="0" t="n">
        <v>26</v>
      </c>
      <c r="D30" s="4" t="s">
        <v>35</v>
      </c>
      <c r="E30" s="4" t="s">
        <v>20</v>
      </c>
      <c r="F30" s="0" t="n">
        <v>10</v>
      </c>
      <c r="G30" s="5" t="n">
        <v>383.92</v>
      </c>
      <c r="H30" s="6" t="n">
        <v>0.05</v>
      </c>
      <c r="I30" s="5" t="n">
        <f aca="false">F30*G30*(1-H30)</f>
        <v>3647.24</v>
      </c>
      <c r="J30" s="4" t="s">
        <v>15</v>
      </c>
      <c r="K30" s="5" t="n">
        <f aca="false">VLOOKUP(D30,Products!$A$2:$E$26,4,FALSE())</f>
        <v>244.6</v>
      </c>
      <c r="L30" s="6" t="n">
        <f aca="false">(I30-F30*K30)/I30</f>
        <v>0.329355896513528</v>
      </c>
    </row>
    <row r="31" customFormat="false" ht="15" hidden="false" customHeight="false" outlineLevel="0" collapsed="false">
      <c r="A31" s="0" t="n">
        <v>10027</v>
      </c>
      <c r="B31" s="3" t="n">
        <v>45484</v>
      </c>
      <c r="C31" s="0" t="n">
        <v>56</v>
      </c>
      <c r="D31" s="4" t="s">
        <v>31</v>
      </c>
      <c r="E31" s="4" t="s">
        <v>24</v>
      </c>
      <c r="F31" s="0" t="n">
        <v>26</v>
      </c>
      <c r="G31" s="5" t="n">
        <v>45.59</v>
      </c>
      <c r="H31" s="6" t="n">
        <v>0.15</v>
      </c>
      <c r="I31" s="5" t="n">
        <f aca="false">F31*G31*(1-H31)</f>
        <v>1007.539</v>
      </c>
      <c r="J31" s="4" t="s">
        <v>15</v>
      </c>
      <c r="K31" s="5" t="n">
        <f aca="false">VLOOKUP(D31,Products!$A$2:$E$26,4,FALSE())</f>
        <v>23.25</v>
      </c>
      <c r="L31" s="6" t="n">
        <f aca="false">(I31-F31*K31)/I31</f>
        <v>0.400023224907423</v>
      </c>
    </row>
    <row r="32" customFormat="false" ht="15" hidden="false" customHeight="false" outlineLevel="0" collapsed="false">
      <c r="A32" s="0" t="n">
        <v>10028</v>
      </c>
      <c r="B32" s="3" t="n">
        <v>45367</v>
      </c>
      <c r="C32" s="0" t="n">
        <v>16</v>
      </c>
      <c r="D32" s="4" t="s">
        <v>13</v>
      </c>
      <c r="E32" s="4" t="s">
        <v>20</v>
      </c>
      <c r="F32" s="0" t="n">
        <v>18</v>
      </c>
      <c r="G32" s="5" t="n">
        <v>89.41</v>
      </c>
      <c r="H32" s="6" t="n">
        <v>0.1</v>
      </c>
      <c r="I32" s="5" t="n">
        <f aca="false">F32*G32*(1-H32)</f>
        <v>1448.442</v>
      </c>
      <c r="J32" s="4" t="s">
        <v>15</v>
      </c>
      <c r="K32" s="5" t="n">
        <f aca="false">VLOOKUP(D32,Products!$A$2:$E$26,4,FALSE())</f>
        <v>39.86</v>
      </c>
      <c r="L32" s="6" t="n">
        <f aca="false">(I32-F32*K32)/I32</f>
        <v>0.5046539661236</v>
      </c>
    </row>
    <row r="33" customFormat="false" ht="15" hidden="false" customHeight="false" outlineLevel="0" collapsed="false">
      <c r="A33" s="0" t="n">
        <v>10029</v>
      </c>
      <c r="B33" s="3" t="n">
        <v>45589</v>
      </c>
      <c r="C33" s="0" t="n">
        <v>47</v>
      </c>
      <c r="D33" s="4" t="s">
        <v>33</v>
      </c>
      <c r="E33" s="4" t="s">
        <v>21</v>
      </c>
      <c r="F33" s="0" t="n">
        <v>6</v>
      </c>
      <c r="G33" s="5" t="n">
        <v>41.87</v>
      </c>
      <c r="H33" s="6" t="n">
        <v>0</v>
      </c>
      <c r="I33" s="5" t="n">
        <f aca="false">F33*G33*(1-H33)</f>
        <v>251.22</v>
      </c>
      <c r="J33" s="4" t="s">
        <v>15</v>
      </c>
      <c r="K33" s="5" t="n">
        <f aca="false">VLOOKUP(D33,Products!$A$2:$E$26,4,FALSE())</f>
        <v>28.4</v>
      </c>
      <c r="L33" s="6" t="n">
        <f aca="false">(I33-F33*K33)/I33</f>
        <v>0.321710054931932</v>
      </c>
    </row>
    <row r="34" customFormat="false" ht="15" hidden="false" customHeight="false" outlineLevel="0" collapsed="false">
      <c r="A34" s="0" t="n">
        <v>10030</v>
      </c>
      <c r="B34" s="3" t="n">
        <v>45530</v>
      </c>
      <c r="C34" s="0" t="n">
        <v>59</v>
      </c>
      <c r="D34" s="4" t="s">
        <v>22</v>
      </c>
      <c r="E34" s="4" t="s">
        <v>24</v>
      </c>
      <c r="F34" s="0" t="n">
        <v>7</v>
      </c>
      <c r="G34" s="5" t="n">
        <v>50.86</v>
      </c>
      <c r="H34" s="6" t="n">
        <v>0.1</v>
      </c>
      <c r="I34" s="5" t="n">
        <f aca="false">F34*G34*(1-H34)</f>
        <v>320.418</v>
      </c>
      <c r="J34" s="4" t="s">
        <v>18</v>
      </c>
      <c r="K34" s="5" t="n">
        <f aca="false">VLOOKUP(D34,Products!$A$2:$E$26,4,FALSE())</f>
        <v>26.06</v>
      </c>
      <c r="L34" s="6" t="n">
        <f aca="false">(I34-F34*K34)/I34</f>
        <v>0.430681172718137</v>
      </c>
    </row>
    <row r="35" customFormat="false" ht="15" hidden="false" customHeight="false" outlineLevel="0" collapsed="false">
      <c r="A35" s="0" t="n">
        <v>10031</v>
      </c>
      <c r="B35" s="3" t="n">
        <v>45560</v>
      </c>
      <c r="C35" s="0" t="n">
        <v>42</v>
      </c>
      <c r="D35" s="4" t="s">
        <v>38</v>
      </c>
      <c r="E35" s="4" t="s">
        <v>21</v>
      </c>
      <c r="F35" s="4" t="s">
        <v>39</v>
      </c>
      <c r="G35" s="5" t="n">
        <v>179.75</v>
      </c>
      <c r="H35" s="6" t="n">
        <v>0</v>
      </c>
      <c r="I35" s="5" t="n">
        <f aca="false">F35*G35*(1-H35)</f>
        <v>6650.75</v>
      </c>
      <c r="J35" s="4" t="s">
        <v>28</v>
      </c>
      <c r="K35" s="5" t="n">
        <f aca="false">VLOOKUP(D35,Products!$A$2:$E$26,4,FALSE())</f>
        <v>107.25</v>
      </c>
      <c r="L35" s="6" t="n">
        <f aca="false">(I35-F35*K35)/I35</f>
        <v>0.403337969401947</v>
      </c>
    </row>
    <row r="36" customFormat="false" ht="15" hidden="false" customHeight="false" outlineLevel="0" collapsed="false">
      <c r="A36" s="0" t="n">
        <v>10032</v>
      </c>
      <c r="B36" s="3" t="n">
        <v>45555</v>
      </c>
      <c r="C36" s="0" t="n">
        <v>79</v>
      </c>
      <c r="D36" s="4" t="s">
        <v>31</v>
      </c>
      <c r="E36" s="4" t="s">
        <v>20</v>
      </c>
      <c r="F36" s="4" t="s">
        <v>40</v>
      </c>
      <c r="G36" s="5" t="n">
        <v>41.73</v>
      </c>
      <c r="H36" s="6" t="n">
        <v>0</v>
      </c>
      <c r="I36" s="5" t="n">
        <f aca="false">F36*G36*(1-H36)</f>
        <v>1126.71</v>
      </c>
      <c r="J36" s="4" t="s">
        <v>15</v>
      </c>
      <c r="K36" s="5" t="n">
        <f aca="false">VLOOKUP(D36,Products!$A$2:$E$26,4,FALSE())</f>
        <v>23.25</v>
      </c>
      <c r="L36" s="6" t="n">
        <f aca="false">(I36-F36*K36)/I36</f>
        <v>0.442846872753415</v>
      </c>
    </row>
    <row r="37" customFormat="false" ht="15" hidden="false" customHeight="false" outlineLevel="0" collapsed="false">
      <c r="A37" s="0" t="n">
        <v>10033</v>
      </c>
      <c r="B37" s="3" t="n">
        <v>45582</v>
      </c>
      <c r="C37" s="0" t="n">
        <v>21</v>
      </c>
      <c r="D37" s="4" t="s">
        <v>35</v>
      </c>
      <c r="E37" s="4" t="s">
        <v>24</v>
      </c>
      <c r="F37" s="0" t="n">
        <v>37</v>
      </c>
      <c r="G37" s="5" t="n">
        <v>404.69</v>
      </c>
      <c r="H37" s="6" t="n">
        <v>0</v>
      </c>
      <c r="I37" s="5" t="n">
        <f aca="false">F37*G37*(1-H37)</f>
        <v>14973.53</v>
      </c>
      <c r="J37" s="4" t="s">
        <v>15</v>
      </c>
      <c r="K37" s="5" t="n">
        <f aca="false">VLOOKUP(D37,Products!$A$2:$E$26,4,FALSE())</f>
        <v>244.6</v>
      </c>
      <c r="L37" s="6" t="n">
        <f aca="false">(I37-F37*K37)/I37</f>
        <v>0.395586745410067</v>
      </c>
    </row>
    <row r="38" customFormat="false" ht="15" hidden="false" customHeight="false" outlineLevel="0" collapsed="false">
      <c r="A38" s="0" t="n">
        <v>10034</v>
      </c>
      <c r="B38" s="3" t="n">
        <v>45628</v>
      </c>
      <c r="C38" s="0" t="n">
        <v>45</v>
      </c>
      <c r="D38" s="4" t="s">
        <v>19</v>
      </c>
      <c r="E38" s="4" t="s">
        <v>20</v>
      </c>
      <c r="F38" s="0" t="n">
        <v>34</v>
      </c>
      <c r="G38" s="5" t="n">
        <v>209.82</v>
      </c>
      <c r="H38" s="6" t="n">
        <v>0.15</v>
      </c>
      <c r="I38" s="5" t="n">
        <f aca="false">F38*G38*(1-H38)</f>
        <v>6063.798</v>
      </c>
      <c r="J38" s="4" t="s">
        <v>15</v>
      </c>
      <c r="K38" s="5" t="n">
        <f aca="false">VLOOKUP(D38,Products!$A$2:$E$26,4,FALSE())</f>
        <v>83.93</v>
      </c>
      <c r="L38" s="6" t="n">
        <f aca="false">(I38-F38*K38)/I38</f>
        <v>0.529400550612009</v>
      </c>
    </row>
    <row r="39" customFormat="false" ht="15" hidden="false" customHeight="false" outlineLevel="0" collapsed="false">
      <c r="A39" s="0" t="n">
        <v>10035</v>
      </c>
      <c r="B39" s="3" t="n">
        <v>45396</v>
      </c>
      <c r="C39" s="0" t="n">
        <v>80</v>
      </c>
      <c r="D39" s="4" t="s">
        <v>23</v>
      </c>
      <c r="E39" s="4" t="s">
        <v>20</v>
      </c>
      <c r="F39" s="0" t="n">
        <v>13</v>
      </c>
      <c r="G39" s="5" t="n">
        <v>123.85</v>
      </c>
      <c r="H39" s="6" t="n">
        <v>0.15</v>
      </c>
      <c r="I39" s="5" t="n">
        <f aca="false">F39*G39*(1-H39)</f>
        <v>1368.5425</v>
      </c>
      <c r="J39" s="4" t="s">
        <v>15</v>
      </c>
      <c r="K39" s="5" t="n">
        <f aca="false">VLOOKUP(D39,Products!$A$2:$E$26,4,FALSE())</f>
        <v>75.38</v>
      </c>
      <c r="L39" s="6" t="n">
        <f aca="false">(I39-F39*K39)/I39</f>
        <v>0.283953549122515</v>
      </c>
    </row>
    <row r="40" customFormat="false" ht="15" hidden="false" customHeight="false" outlineLevel="0" collapsed="false">
      <c r="A40" s="0" t="n">
        <v>10036</v>
      </c>
      <c r="B40" s="3" t="n">
        <v>45506</v>
      </c>
      <c r="C40" s="0" t="n">
        <v>11</v>
      </c>
      <c r="D40" s="4" t="s">
        <v>41</v>
      </c>
      <c r="E40" s="4" t="s">
        <v>20</v>
      </c>
      <c r="F40" s="0" t="n">
        <v>10</v>
      </c>
      <c r="G40" s="5" t="n">
        <v>25.86</v>
      </c>
      <c r="H40" s="6" t="n">
        <v>0.05</v>
      </c>
      <c r="I40" s="5" t="n">
        <f aca="false">F40*G40*(1-H40)</f>
        <v>245.67</v>
      </c>
      <c r="J40" s="4" t="s">
        <v>18</v>
      </c>
      <c r="K40" s="5" t="n">
        <f aca="false">VLOOKUP(D40,Products!$A$2:$E$26,4,FALSE())</f>
        <v>12.46</v>
      </c>
      <c r="L40" s="6" t="n">
        <f aca="false">(I40-F40*K40)/I40</f>
        <v>0.492815565596125</v>
      </c>
    </row>
    <row r="41" customFormat="false" ht="15" hidden="false" customHeight="false" outlineLevel="0" collapsed="false">
      <c r="A41" s="0" t="n">
        <v>10037</v>
      </c>
      <c r="B41" s="3" t="n">
        <v>45568</v>
      </c>
      <c r="C41" s="0" t="n">
        <v>44</v>
      </c>
      <c r="D41" s="4" t="s">
        <v>35</v>
      </c>
      <c r="E41" s="4" t="s">
        <v>14</v>
      </c>
      <c r="F41" s="0" t="n">
        <v>6</v>
      </c>
      <c r="G41" s="5" t="n">
        <v>390.88</v>
      </c>
      <c r="H41" s="6" t="n">
        <v>0</v>
      </c>
      <c r="I41" s="5" t="n">
        <f aca="false">F41*G41*(1-H41)</f>
        <v>2345.28</v>
      </c>
      <c r="J41" s="4" t="s">
        <v>15</v>
      </c>
      <c r="K41" s="5" t="n">
        <f aca="false">VLOOKUP(D41,Products!$A$2:$E$26,4,FALSE())</f>
        <v>244.6</v>
      </c>
      <c r="L41" s="6" t="n">
        <f aca="false">(I41-F41*K41)/I41</f>
        <v>0.374232501023332</v>
      </c>
    </row>
    <row r="42" customFormat="false" ht="15" hidden="false" customHeight="false" outlineLevel="0" collapsed="false">
      <c r="A42" s="0" t="n">
        <v>10038</v>
      </c>
      <c r="B42" s="3" t="n">
        <v>45496</v>
      </c>
      <c r="C42" s="0" t="n">
        <v>28</v>
      </c>
      <c r="D42" s="4" t="s">
        <v>38</v>
      </c>
      <c r="E42" s="4" t="s">
        <v>21</v>
      </c>
      <c r="F42" s="0" t="n">
        <v>11</v>
      </c>
      <c r="G42" s="5" t="n">
        <v>180.86</v>
      </c>
      <c r="H42" s="6" t="n">
        <v>0</v>
      </c>
      <c r="I42" s="5" t="n">
        <f aca="false">F42*G42*(1-H42)</f>
        <v>1989.46</v>
      </c>
      <c r="J42" s="4" t="s">
        <v>15</v>
      </c>
      <c r="K42" s="5" t="n">
        <f aca="false">VLOOKUP(D42,Products!$A$2:$E$26,4,FALSE())</f>
        <v>107.25</v>
      </c>
      <c r="L42" s="6" t="n">
        <f aca="false">(I42-F42*K42)/I42</f>
        <v>0.406999889417229</v>
      </c>
    </row>
    <row r="43" customFormat="false" ht="15" hidden="false" customHeight="false" outlineLevel="0" collapsed="false">
      <c r="A43" s="0" t="n">
        <v>10039</v>
      </c>
      <c r="B43" s="3" t="n">
        <v>45459</v>
      </c>
      <c r="C43" s="0" t="n">
        <v>69</v>
      </c>
      <c r="D43" s="4" t="s">
        <v>27</v>
      </c>
      <c r="E43" s="4" t="s">
        <v>20</v>
      </c>
      <c r="F43" s="0" t="n">
        <v>21</v>
      </c>
      <c r="G43" s="5" t="n">
        <v>115.7</v>
      </c>
      <c r="H43" s="6" t="n">
        <v>0</v>
      </c>
      <c r="I43" s="5" t="n">
        <f aca="false">F43*G43*(1-H43)</f>
        <v>2429.7</v>
      </c>
      <c r="J43" s="4" t="s">
        <v>18</v>
      </c>
      <c r="K43" s="5" t="n">
        <f aca="false">VLOOKUP(D43,Products!$A$2:$E$26,4,FALSE())</f>
        <v>45.07</v>
      </c>
      <c r="L43" s="6" t="n">
        <f aca="false">(I43-F43*K43)/I43</f>
        <v>0.610458081244598</v>
      </c>
    </row>
    <row r="44" customFormat="false" ht="15" hidden="false" customHeight="false" outlineLevel="0" collapsed="false">
      <c r="A44" s="0" t="n">
        <v>10040</v>
      </c>
      <c r="B44" s="3" t="n">
        <v>45555</v>
      </c>
      <c r="C44" s="0" t="n">
        <v>57</v>
      </c>
      <c r="D44" s="4" t="s">
        <v>25</v>
      </c>
      <c r="E44" s="4" t="s">
        <v>14</v>
      </c>
      <c r="F44" s="0" t="n">
        <v>16</v>
      </c>
      <c r="G44" s="5" t="n">
        <v>203.24</v>
      </c>
      <c r="H44" s="6" t="n">
        <v>0.05</v>
      </c>
      <c r="I44" s="5" t="n">
        <f aca="false">F44*G44*(1-H44)</f>
        <v>3089.248</v>
      </c>
      <c r="J44" s="4" t="s">
        <v>15</v>
      </c>
      <c r="K44" s="5" t="n">
        <f aca="false">VLOOKUP(D44,Products!$A$2:$E$26,4,FALSE())</f>
        <v>128.85</v>
      </c>
      <c r="L44" s="6" t="n">
        <f aca="false">(I44-F44*K44)/I44</f>
        <v>0.332653124643926</v>
      </c>
    </row>
    <row r="45" customFormat="false" ht="15" hidden="false" customHeight="false" outlineLevel="0" collapsed="false">
      <c r="A45" s="0" t="n">
        <v>10041</v>
      </c>
      <c r="B45" s="3" t="n">
        <v>45347</v>
      </c>
      <c r="C45" s="0" t="n">
        <v>22</v>
      </c>
      <c r="D45" s="4" t="s">
        <v>42</v>
      </c>
      <c r="E45" s="4" t="s">
        <v>21</v>
      </c>
      <c r="F45" s="0" t="n">
        <v>14</v>
      </c>
      <c r="G45" s="5" t="n">
        <v>78.19</v>
      </c>
      <c r="H45" s="6" t="n">
        <v>0</v>
      </c>
      <c r="I45" s="5" t="n">
        <f aca="false">F45*G45*(1-H45)</f>
        <v>1094.66</v>
      </c>
      <c r="J45" s="4" t="s">
        <v>28</v>
      </c>
      <c r="K45" s="5" t="n">
        <f aca="false">VLOOKUP(D45,Products!$A$2:$E$26,4,FALSE())</f>
        <v>47.32</v>
      </c>
      <c r="L45" s="6" t="n">
        <f aca="false">(I45-F45*K45)/I45</f>
        <v>0.394807520143241</v>
      </c>
    </row>
    <row r="46" customFormat="false" ht="15" hidden="false" customHeight="false" outlineLevel="0" collapsed="false">
      <c r="A46" s="0" t="n">
        <v>10042</v>
      </c>
      <c r="B46" s="3" t="n">
        <v>45344</v>
      </c>
      <c r="C46" s="0" t="n">
        <v>24</v>
      </c>
      <c r="D46" s="4" t="s">
        <v>43</v>
      </c>
      <c r="E46" s="4" t="s">
        <v>21</v>
      </c>
      <c r="F46" s="0" t="n">
        <v>8</v>
      </c>
      <c r="G46" s="5" t="n">
        <v>218.75</v>
      </c>
      <c r="H46" s="6" t="n">
        <v>0</v>
      </c>
      <c r="I46" s="5" t="n">
        <f aca="false">F46*G46*(1-H46)</f>
        <v>1750</v>
      </c>
      <c r="J46" s="4" t="s">
        <v>15</v>
      </c>
      <c r="K46" s="5" t="n">
        <f aca="false">VLOOKUP(D46,Products!$A$2:$E$26,4,FALSE())</f>
        <v>126.91</v>
      </c>
      <c r="L46" s="6" t="n">
        <f aca="false">(I46-F46*K46)/I46</f>
        <v>0.41984</v>
      </c>
    </row>
    <row r="47" customFormat="false" ht="15" hidden="false" customHeight="false" outlineLevel="0" collapsed="false">
      <c r="A47" s="0" t="n">
        <v>10043</v>
      </c>
      <c r="B47" s="3" t="n">
        <v>45394</v>
      </c>
      <c r="C47" s="0" t="n">
        <v>78</v>
      </c>
      <c r="D47" s="4" t="s">
        <v>26</v>
      </c>
      <c r="E47" s="4" t="s">
        <v>14</v>
      </c>
      <c r="F47" s="0" t="n">
        <v>33</v>
      </c>
      <c r="G47" s="5" t="n">
        <v>51.7</v>
      </c>
      <c r="H47" s="6" t="n">
        <v>0.05</v>
      </c>
      <c r="I47" s="5" t="n">
        <f aca="false">F47*G47*(1-H47)</f>
        <v>1620.795</v>
      </c>
      <c r="J47" s="4" t="s">
        <v>15</v>
      </c>
      <c r="K47" s="5" t="n">
        <f aca="false">VLOOKUP(D47,Products!$A$2:$E$26,4,FALSE())</f>
        <v>22.68</v>
      </c>
      <c r="L47" s="6" t="n">
        <f aca="false">(I47-F47*K47)/I47</f>
        <v>0.538226611014965</v>
      </c>
    </row>
    <row r="48" customFormat="false" ht="15" hidden="false" customHeight="false" outlineLevel="0" collapsed="false">
      <c r="A48" s="0" t="n">
        <v>10044</v>
      </c>
      <c r="B48" s="3" t="n">
        <v>45556</v>
      </c>
      <c r="C48" s="0" t="n">
        <v>50</v>
      </c>
      <c r="D48" s="4" t="s">
        <v>32</v>
      </c>
      <c r="E48" s="4" t="s">
        <v>24</v>
      </c>
      <c r="F48" s="0" t="n">
        <v>18</v>
      </c>
      <c r="G48" s="5" t="n">
        <v>354.37</v>
      </c>
      <c r="H48" s="6" t="n">
        <v>0</v>
      </c>
      <c r="I48" s="5" t="n">
        <f aca="false">F48*G48*(1-H48)</f>
        <v>6378.66</v>
      </c>
      <c r="J48" s="4" t="s">
        <v>15</v>
      </c>
      <c r="K48" s="5" t="n">
        <f aca="false">VLOOKUP(D48,Products!$A$2:$E$26,4,FALSE())</f>
        <v>144.3</v>
      </c>
      <c r="L48" s="6" t="n">
        <f aca="false">(I48-F48*K48)/I48</f>
        <v>0.592798487456613</v>
      </c>
    </row>
    <row r="49" customFormat="false" ht="15" hidden="false" customHeight="false" outlineLevel="0" collapsed="false">
      <c r="A49" s="0" t="n">
        <v>10045</v>
      </c>
      <c r="B49" s="3" t="n">
        <v>45439</v>
      </c>
      <c r="C49" s="0" t="n">
        <v>70</v>
      </c>
      <c r="D49" s="4" t="s">
        <v>37</v>
      </c>
      <c r="E49" s="4" t="s">
        <v>14</v>
      </c>
      <c r="F49" s="0" t="n">
        <v>13</v>
      </c>
      <c r="G49" s="5" t="n">
        <v>8.52</v>
      </c>
      <c r="H49" s="6" t="n">
        <v>0.05</v>
      </c>
      <c r="I49" s="5" t="n">
        <f aca="false">F49*G49*(1-H49)</f>
        <v>105.222</v>
      </c>
      <c r="J49" s="4" t="s">
        <v>15</v>
      </c>
      <c r="K49" s="5" t="n">
        <f aca="false">VLOOKUP(D49,Products!$A$2:$E$26,4,FALSE())</f>
        <v>3.88</v>
      </c>
      <c r="L49" s="6" t="n">
        <f aca="false">(I49-F49*K49)/I49</f>
        <v>0.520632567333828</v>
      </c>
    </row>
    <row r="50" customFormat="false" ht="15" hidden="false" customHeight="false" outlineLevel="0" collapsed="false">
      <c r="A50" s="0" t="n">
        <v>10046</v>
      </c>
      <c r="B50" s="3" t="n">
        <v>45562</v>
      </c>
      <c r="C50" s="0" t="n">
        <v>29</v>
      </c>
      <c r="D50" s="4" t="s">
        <v>33</v>
      </c>
      <c r="E50" s="4" t="s">
        <v>21</v>
      </c>
      <c r="F50" s="0" t="n">
        <v>40</v>
      </c>
      <c r="G50" s="5" t="n">
        <v>43.05</v>
      </c>
      <c r="H50" s="6" t="n">
        <v>0</v>
      </c>
      <c r="I50" s="5" t="n">
        <f aca="false">F50*G50*(1-H50)</f>
        <v>1722</v>
      </c>
      <c r="J50" s="4" t="s">
        <v>28</v>
      </c>
      <c r="K50" s="5" t="n">
        <f aca="false">VLOOKUP(D50,Products!$A$2:$E$26,4,FALSE())</f>
        <v>28.4</v>
      </c>
      <c r="L50" s="6" t="n">
        <f aca="false">(I50-F50*K50)/I50</f>
        <v>0.340301974448316</v>
      </c>
    </row>
    <row r="51" customFormat="false" ht="15" hidden="false" customHeight="false" outlineLevel="0" collapsed="false">
      <c r="A51" s="0" t="n">
        <v>10047</v>
      </c>
      <c r="B51" s="3" t="n">
        <v>45329</v>
      </c>
      <c r="C51" s="0" t="n">
        <v>28</v>
      </c>
      <c r="D51" s="4" t="s">
        <v>32</v>
      </c>
      <c r="E51" s="4" t="s">
        <v>21</v>
      </c>
      <c r="F51" s="0" t="n">
        <v>9</v>
      </c>
      <c r="G51" s="5" t="n">
        <v>349.94</v>
      </c>
      <c r="H51" s="6" t="n">
        <v>0.05</v>
      </c>
      <c r="I51" s="5" t="n">
        <f aca="false">F51*G51*(1-H51)</f>
        <v>2991.987</v>
      </c>
      <c r="J51" s="4" t="s">
        <v>18</v>
      </c>
      <c r="K51" s="5" t="n">
        <f aca="false">VLOOKUP(D51,Products!$A$2:$E$26,4,FALSE())</f>
        <v>144.3</v>
      </c>
      <c r="L51" s="6" t="n">
        <f aca="false">(I51-F51*K51)/I51</f>
        <v>0.565940627415828</v>
      </c>
    </row>
    <row r="52" customFormat="false" ht="15" hidden="false" customHeight="false" outlineLevel="0" collapsed="false">
      <c r="A52" s="0" t="n">
        <v>10048</v>
      </c>
      <c r="B52" s="3" t="n">
        <v>45600</v>
      </c>
      <c r="C52" s="0" t="n">
        <v>39</v>
      </c>
      <c r="D52" s="4" t="s">
        <v>23</v>
      </c>
      <c r="E52" s="4" t="s">
        <v>21</v>
      </c>
      <c r="F52" s="0" t="n">
        <v>8</v>
      </c>
      <c r="G52" s="5" t="n">
        <v>124.58</v>
      </c>
      <c r="H52" s="6" t="n">
        <v>0.15</v>
      </c>
      <c r="I52" s="5" t="n">
        <f aca="false">F52*G52*(1-H52)</f>
        <v>847.144</v>
      </c>
      <c r="J52" s="4" t="s">
        <v>15</v>
      </c>
      <c r="K52" s="5" t="n">
        <f aca="false">VLOOKUP(D52,Products!$A$2:$E$26,4,FALSE())</f>
        <v>75.38</v>
      </c>
      <c r="L52" s="6" t="n">
        <f aca="false">(I52-F52*K52)/I52</f>
        <v>0.288149358314525</v>
      </c>
    </row>
    <row r="53" customFormat="false" ht="15" hidden="false" customHeight="false" outlineLevel="0" collapsed="false">
      <c r="A53" s="0" t="n">
        <v>10049</v>
      </c>
      <c r="B53" s="3" t="n">
        <v>45322</v>
      </c>
      <c r="C53" s="0" t="n">
        <v>54</v>
      </c>
      <c r="D53" s="4" t="s">
        <v>33</v>
      </c>
      <c r="E53" s="4" t="s">
        <v>20</v>
      </c>
      <c r="F53" s="0" t="n">
        <v>14</v>
      </c>
      <c r="G53" s="5" t="n">
        <v>42.27</v>
      </c>
      <c r="H53" s="6" t="n">
        <v>0</v>
      </c>
      <c r="I53" s="5" t="n">
        <f aca="false">F53*G53*(1-H53)</f>
        <v>591.78</v>
      </c>
      <c r="J53" s="4" t="s">
        <v>28</v>
      </c>
      <c r="K53" s="5" t="n">
        <f aca="false">VLOOKUP(D53,Products!$A$2:$E$26,4,FALSE())</f>
        <v>28.4</v>
      </c>
      <c r="L53" s="6" t="n">
        <f aca="false">(I53-F53*K53)/I53</f>
        <v>0.328128696475042</v>
      </c>
    </row>
    <row r="54" customFormat="false" ht="15" hidden="false" customHeight="false" outlineLevel="0" collapsed="false">
      <c r="A54" s="0" t="n">
        <v>10050</v>
      </c>
      <c r="B54" s="3" t="n">
        <v>45296</v>
      </c>
      <c r="C54" s="0" t="n">
        <v>58</v>
      </c>
      <c r="D54" s="4" t="s">
        <v>44</v>
      </c>
      <c r="E54" s="4" t="s">
        <v>21</v>
      </c>
      <c r="F54" s="0" t="n">
        <v>40</v>
      </c>
      <c r="G54" s="5" t="n">
        <v>29.49</v>
      </c>
      <c r="H54" s="6" t="n">
        <v>0</v>
      </c>
      <c r="I54" s="5" t="n">
        <f aca="false">F54*G54*(1-H54)</f>
        <v>1179.6</v>
      </c>
      <c r="J54" s="4" t="s">
        <v>18</v>
      </c>
      <c r="K54" s="5" t="n">
        <f aca="false">VLOOKUP(D54,Products!$A$2:$E$26,4,FALSE())</f>
        <v>18.41</v>
      </c>
      <c r="L54" s="6" t="n">
        <f aca="false">(I54-F54*K54)/I54</f>
        <v>0.375720583248559</v>
      </c>
    </row>
    <row r="55" customFormat="false" ht="15" hidden="false" customHeight="false" outlineLevel="0" collapsed="false">
      <c r="A55" s="0" t="n">
        <v>10051</v>
      </c>
      <c r="B55" s="3" t="n">
        <v>45380</v>
      </c>
      <c r="C55" s="0" t="n">
        <v>64</v>
      </c>
      <c r="D55" s="4" t="s">
        <v>31</v>
      </c>
      <c r="E55" s="4" t="s">
        <v>20</v>
      </c>
      <c r="F55" s="0" t="n">
        <v>17</v>
      </c>
      <c r="G55" s="5" t="n">
        <v>41.77</v>
      </c>
      <c r="H55" s="6" t="n">
        <v>0.05</v>
      </c>
      <c r="I55" s="5" t="n">
        <f aca="false">F55*G55*(1-H55)</f>
        <v>674.5855</v>
      </c>
      <c r="J55" s="4" t="s">
        <v>15</v>
      </c>
      <c r="K55" s="5" t="n">
        <f aca="false">VLOOKUP(D55,Products!$A$2:$E$26,4,FALSE())</f>
        <v>23.25</v>
      </c>
      <c r="L55" s="6" t="n">
        <f aca="false">(I55-F55*K55)/I55</f>
        <v>0.414084649017804</v>
      </c>
    </row>
    <row r="56" customFormat="false" ht="15" hidden="false" customHeight="false" outlineLevel="0" collapsed="false">
      <c r="A56" s="0" t="n">
        <v>10052</v>
      </c>
      <c r="B56" s="3" t="n">
        <v>45324</v>
      </c>
      <c r="C56" s="0" t="n">
        <v>58</v>
      </c>
      <c r="D56" s="4" t="s">
        <v>34</v>
      </c>
      <c r="E56" s="4" t="s">
        <v>14</v>
      </c>
      <c r="F56" s="0" t="n">
        <v>27</v>
      </c>
      <c r="G56" s="5" t="n">
        <v>21</v>
      </c>
      <c r="H56" s="6" t="n">
        <v>0</v>
      </c>
      <c r="I56" s="5" t="n">
        <f aca="false">F56*G56*(1-H56)</f>
        <v>567</v>
      </c>
      <c r="J56" s="4" t="s">
        <v>15</v>
      </c>
      <c r="K56" s="5" t="n">
        <f aca="false">VLOOKUP(D56,Products!$A$2:$E$26,4,FALSE())</f>
        <v>14.34</v>
      </c>
      <c r="L56" s="6" t="n">
        <f aca="false">(I56-F56*K56)/I56</f>
        <v>0.317142857142857</v>
      </c>
    </row>
    <row r="57" customFormat="false" ht="15" hidden="false" customHeight="false" outlineLevel="0" collapsed="false">
      <c r="A57" s="0" t="n">
        <v>10053</v>
      </c>
      <c r="B57" s="3" t="n">
        <v>45602</v>
      </c>
      <c r="C57" s="0" t="n">
        <v>73</v>
      </c>
      <c r="D57" s="4" t="s">
        <v>33</v>
      </c>
      <c r="E57" s="4" t="s">
        <v>14</v>
      </c>
      <c r="F57" s="0" t="n">
        <v>17</v>
      </c>
      <c r="G57" s="5" t="n">
        <v>43.75</v>
      </c>
      <c r="H57" s="6" t="n">
        <v>0</v>
      </c>
      <c r="I57" s="5" t="n">
        <f aca="false">F57*G57*(1-H57)</f>
        <v>743.75</v>
      </c>
      <c r="J57" s="4" t="s">
        <v>28</v>
      </c>
      <c r="K57" s="5" t="n">
        <f aca="false">VLOOKUP(D57,Products!$A$2:$E$26,4,FALSE())</f>
        <v>28.4</v>
      </c>
      <c r="L57" s="6" t="n">
        <f aca="false">(I57-F57*K57)/I57</f>
        <v>0.350857142857143</v>
      </c>
    </row>
    <row r="58" customFormat="false" ht="15" hidden="false" customHeight="false" outlineLevel="0" collapsed="false">
      <c r="A58" s="0" t="n">
        <v>10054</v>
      </c>
      <c r="B58" s="3" t="n">
        <v>45617</v>
      </c>
      <c r="C58" s="0" t="n">
        <v>48</v>
      </c>
      <c r="D58" s="4" t="s">
        <v>33</v>
      </c>
      <c r="E58" s="4" t="s">
        <v>21</v>
      </c>
      <c r="F58" s="0" t="n">
        <v>32</v>
      </c>
      <c r="G58" s="5" t="n">
        <v>44.29</v>
      </c>
      <c r="H58" s="6" t="n">
        <v>0</v>
      </c>
      <c r="I58" s="5" t="n">
        <f aca="false">F58*G58*(1-H58)</f>
        <v>1417.28</v>
      </c>
      <c r="J58" s="4" t="s">
        <v>15</v>
      </c>
      <c r="K58" s="5" t="n">
        <f aca="false">VLOOKUP(D58,Products!$A$2:$E$26,4,FALSE())</f>
        <v>28.4</v>
      </c>
      <c r="L58" s="6" t="n">
        <f aca="false">(I58-F58*K58)/I58</f>
        <v>0.358771731767893</v>
      </c>
    </row>
    <row r="59" customFormat="false" ht="15" hidden="false" customHeight="false" outlineLevel="0" collapsed="false">
      <c r="A59" s="0" t="n">
        <v>10055</v>
      </c>
      <c r="B59" s="3" t="n">
        <v>45650</v>
      </c>
      <c r="C59" s="0" t="n">
        <v>18</v>
      </c>
      <c r="D59" s="4" t="s">
        <v>32</v>
      </c>
      <c r="E59" s="4" t="s">
        <v>20</v>
      </c>
      <c r="F59" s="0" t="n">
        <v>4</v>
      </c>
      <c r="G59" s="5" t="n">
        <v>362.6</v>
      </c>
      <c r="H59" s="6" t="n">
        <v>0.05</v>
      </c>
      <c r="I59" s="5" t="n">
        <f aca="false">F59*G59*(1-H59)</f>
        <v>1377.88</v>
      </c>
      <c r="J59" s="4" t="s">
        <v>28</v>
      </c>
      <c r="K59" s="5" t="n">
        <f aca="false">VLOOKUP(D59,Products!$A$2:$E$26,4,FALSE())</f>
        <v>144.3</v>
      </c>
      <c r="L59" s="6" t="n">
        <f aca="false">(I59-F59*K59)/I59</f>
        <v>0.58109559613319</v>
      </c>
    </row>
    <row r="60" customFormat="false" ht="15" hidden="false" customHeight="false" outlineLevel="0" collapsed="false">
      <c r="A60" s="0" t="n">
        <v>10056</v>
      </c>
      <c r="B60" s="3" t="n">
        <v>45433</v>
      </c>
      <c r="C60" s="0" t="n">
        <v>29</v>
      </c>
      <c r="D60" s="4" t="s">
        <v>43</v>
      </c>
      <c r="E60" s="4" t="s">
        <v>21</v>
      </c>
      <c r="F60" s="0" t="n">
        <v>16</v>
      </c>
      <c r="G60" s="5" t="n">
        <v>207.12</v>
      </c>
      <c r="H60" s="6" t="n">
        <v>0.15</v>
      </c>
      <c r="I60" s="5" t="n">
        <f aca="false">F60*G60*(1-H60)</f>
        <v>2816.832</v>
      </c>
      <c r="J60" s="4" t="s">
        <v>28</v>
      </c>
      <c r="K60" s="5" t="n">
        <f aca="false">VLOOKUP(D60,Products!$A$2:$E$26,4,FALSE())</f>
        <v>126.91</v>
      </c>
      <c r="L60" s="6" t="n">
        <f aca="false">(I60-F60*K60)/I60</f>
        <v>0.279133437847909</v>
      </c>
    </row>
    <row r="61" customFormat="false" ht="15" hidden="false" customHeight="false" outlineLevel="0" collapsed="false">
      <c r="A61" s="0" t="n">
        <v>10057</v>
      </c>
      <c r="B61" s="3" t="n">
        <v>45605</v>
      </c>
      <c r="C61" s="0" t="n">
        <v>62</v>
      </c>
      <c r="D61" s="4" t="s">
        <v>23</v>
      </c>
      <c r="E61" s="4" t="s">
        <v>14</v>
      </c>
      <c r="F61" s="0" t="n">
        <v>24</v>
      </c>
      <c r="G61" s="5" t="n">
        <v>118.57</v>
      </c>
      <c r="H61" s="6" t="n">
        <v>0.05</v>
      </c>
      <c r="I61" s="5" t="n">
        <f aca="false">F61*G61*(1-H61)</f>
        <v>2703.396</v>
      </c>
      <c r="J61" s="4" t="s">
        <v>15</v>
      </c>
      <c r="K61" s="5" t="n">
        <f aca="false">VLOOKUP(D61,Products!$A$2:$E$26,4,FALSE())</f>
        <v>75.38</v>
      </c>
      <c r="L61" s="6" t="n">
        <f aca="false">(I61-F61*K61)/I61</f>
        <v>0.330797263885868</v>
      </c>
    </row>
    <row r="62" customFormat="false" ht="15" hidden="false" customHeight="false" outlineLevel="0" collapsed="false">
      <c r="A62" s="0" t="n">
        <v>10058</v>
      </c>
      <c r="B62" s="3" t="n">
        <v>45605</v>
      </c>
      <c r="C62" s="0" t="n">
        <v>63</v>
      </c>
      <c r="D62" s="4" t="s">
        <v>34</v>
      </c>
      <c r="E62" s="4" t="s">
        <v>21</v>
      </c>
      <c r="F62" s="0" t="n">
        <v>4</v>
      </c>
      <c r="G62" s="5" t="n">
        <v>21.72</v>
      </c>
      <c r="H62" s="6" t="n">
        <v>0</v>
      </c>
      <c r="I62" s="5" t="n">
        <f aca="false">F62*G62*(1-H62)</f>
        <v>86.88</v>
      </c>
      <c r="J62" s="4" t="s">
        <v>15</v>
      </c>
      <c r="K62" s="5" t="n">
        <f aca="false">VLOOKUP(D62,Products!$A$2:$E$26,4,FALSE())</f>
        <v>14.34</v>
      </c>
      <c r="L62" s="6" t="n">
        <f aca="false">(I62-F62*K62)/I62</f>
        <v>0.339779005524862</v>
      </c>
    </row>
    <row r="63" customFormat="false" ht="15" hidden="false" customHeight="false" outlineLevel="0" collapsed="false">
      <c r="A63" s="0" t="n">
        <v>10059</v>
      </c>
      <c r="B63" s="3" t="n">
        <v>45330</v>
      </c>
      <c r="C63" s="0" t="n">
        <v>75</v>
      </c>
      <c r="D63" s="4" t="s">
        <v>25</v>
      </c>
      <c r="E63" s="4" t="s">
        <v>14</v>
      </c>
      <c r="F63" s="0" t="n">
        <v>33</v>
      </c>
      <c r="G63" s="5" t="n">
        <v>202.95</v>
      </c>
      <c r="H63" s="6" t="n">
        <v>0</v>
      </c>
      <c r="I63" s="5" t="n">
        <f aca="false">F63*G63*(1-H63)</f>
        <v>6697.35</v>
      </c>
      <c r="J63" s="4" t="s">
        <v>18</v>
      </c>
      <c r="K63" s="5" t="n">
        <f aca="false">VLOOKUP(D63,Products!$A$2:$E$26,4,FALSE())</f>
        <v>128.85</v>
      </c>
      <c r="L63" s="6" t="n">
        <f aca="false">(I63-F63*K63)/I63</f>
        <v>0.365114560236511</v>
      </c>
    </row>
    <row r="64" customFormat="false" ht="15" hidden="false" customHeight="false" outlineLevel="0" collapsed="false">
      <c r="A64" s="0" t="n">
        <v>10060</v>
      </c>
      <c r="B64" s="3" t="n">
        <v>45486</v>
      </c>
      <c r="C64" s="0" t="n">
        <v>7</v>
      </c>
      <c r="D64" s="4" t="s">
        <v>38</v>
      </c>
      <c r="E64" s="4" t="s">
        <v>14</v>
      </c>
      <c r="F64" s="0" t="n">
        <v>39</v>
      </c>
      <c r="G64" s="5" t="n">
        <v>178.44</v>
      </c>
      <c r="H64" s="6" t="n">
        <v>0</v>
      </c>
      <c r="I64" s="5" t="n">
        <f aca="false">F64*G64*(1-H64)</f>
        <v>6959.16</v>
      </c>
      <c r="J64" s="4" t="s">
        <v>18</v>
      </c>
      <c r="K64" s="5" t="n">
        <f aca="false">VLOOKUP(D64,Products!$A$2:$E$26,4,FALSE())</f>
        <v>107.25</v>
      </c>
      <c r="L64" s="6" t="n">
        <f aca="false">(I64-F64*K64)/I64</f>
        <v>0.398957632817754</v>
      </c>
    </row>
    <row r="65" customFormat="false" ht="15" hidden="false" customHeight="false" outlineLevel="0" collapsed="false">
      <c r="A65" s="0" t="n">
        <v>10061</v>
      </c>
      <c r="B65" s="3" t="n">
        <v>45500</v>
      </c>
      <c r="C65" s="0" t="n">
        <v>5</v>
      </c>
      <c r="D65" s="4" t="s">
        <v>41</v>
      </c>
      <c r="E65" s="4" t="s">
        <v>14</v>
      </c>
      <c r="F65" s="0" t="n">
        <v>35</v>
      </c>
      <c r="G65" s="5" t="n">
        <v>25.29</v>
      </c>
      <c r="H65" s="6" t="n">
        <v>0</v>
      </c>
      <c r="I65" s="5" t="n">
        <f aca="false">F65*G65*(1-H65)</f>
        <v>885.15</v>
      </c>
      <c r="J65" s="4" t="s">
        <v>15</v>
      </c>
      <c r="K65" s="5" t="n">
        <f aca="false">VLOOKUP(D65,Products!$A$2:$E$26,4,FALSE())</f>
        <v>12.46</v>
      </c>
      <c r="L65" s="6" t="n">
        <f aca="false">(I65-F65*K65)/I65</f>
        <v>0.507315144325821</v>
      </c>
    </row>
    <row r="66" customFormat="false" ht="15" hidden="false" customHeight="false" outlineLevel="0" collapsed="false">
      <c r="A66" s="0" t="n">
        <v>10062</v>
      </c>
      <c r="B66" s="3" t="n">
        <v>45612</v>
      </c>
      <c r="C66" s="0" t="n">
        <v>11</v>
      </c>
      <c r="D66" s="4" t="s">
        <v>44</v>
      </c>
      <c r="E66" s="4" t="s">
        <v>14</v>
      </c>
      <c r="F66" s="0" t="n">
        <v>7</v>
      </c>
      <c r="G66" s="5" t="n">
        <v>31.26</v>
      </c>
      <c r="H66" s="6" t="n">
        <v>0</v>
      </c>
      <c r="I66" s="5" t="n">
        <f aca="false">F66*G66*(1-H66)</f>
        <v>218.82</v>
      </c>
      <c r="J66" s="4" t="s">
        <v>15</v>
      </c>
      <c r="K66" s="5" t="n">
        <f aca="false">VLOOKUP(D66,Products!$A$2:$E$26,4,FALSE())</f>
        <v>18.41</v>
      </c>
      <c r="L66" s="6" t="n">
        <f aca="false">(I66-F66*K66)/I66</f>
        <v>0.41106845809341</v>
      </c>
    </row>
    <row r="67" customFormat="false" ht="15" hidden="false" customHeight="false" outlineLevel="0" collapsed="false">
      <c r="A67" s="0" t="n">
        <v>10063</v>
      </c>
      <c r="B67" s="3" t="n">
        <v>45314</v>
      </c>
      <c r="C67" s="0" t="n">
        <v>55</v>
      </c>
      <c r="D67" s="4" t="s">
        <v>45</v>
      </c>
      <c r="E67" s="4" t="s">
        <v>24</v>
      </c>
      <c r="F67" s="0" t="n">
        <v>33</v>
      </c>
      <c r="G67" s="5" t="n">
        <v>96.73</v>
      </c>
      <c r="H67" s="6" t="n">
        <v>0.1</v>
      </c>
      <c r="I67" s="5" t="n">
        <f aca="false">F67*G67*(1-H67)</f>
        <v>2872.881</v>
      </c>
      <c r="J67" s="4" t="s">
        <v>28</v>
      </c>
      <c r="K67" s="5" t="n">
        <f aca="false">VLOOKUP(D67,Products!$A$2:$E$26,4,FALSE())</f>
        <v>41.2</v>
      </c>
      <c r="L67" s="6" t="n">
        <f aca="false">(I67-F67*K67)/I67</f>
        <v>0.526746844021733</v>
      </c>
    </row>
    <row r="68" customFormat="false" ht="15" hidden="false" customHeight="false" outlineLevel="0" collapsed="false">
      <c r="A68" s="0" t="n">
        <v>10064</v>
      </c>
      <c r="B68" s="3" t="n">
        <v>45388</v>
      </c>
      <c r="C68" s="0" t="n">
        <v>15</v>
      </c>
      <c r="D68" s="4" t="s">
        <v>19</v>
      </c>
      <c r="E68" s="4" t="s">
        <v>24</v>
      </c>
      <c r="F68" s="0" t="n">
        <v>25</v>
      </c>
      <c r="G68" s="5" t="n">
        <v>206.39</v>
      </c>
      <c r="H68" s="6" t="n">
        <v>0.05</v>
      </c>
      <c r="I68" s="5" t="n">
        <f aca="false">F68*G68*(1-H68)</f>
        <v>4901.7625</v>
      </c>
      <c r="J68" s="4" t="s">
        <v>15</v>
      </c>
      <c r="K68" s="5" t="n">
        <f aca="false">VLOOKUP(D68,Products!$A$2:$E$26,4,FALSE())</f>
        <v>83.93</v>
      </c>
      <c r="L68" s="6" t="n">
        <f aca="false">(I68-F68*K68)/I68</f>
        <v>0.571939684960257</v>
      </c>
    </row>
    <row r="69" customFormat="false" ht="15" hidden="false" customHeight="false" outlineLevel="0" collapsed="false">
      <c r="A69" s="0" t="n">
        <v>10065</v>
      </c>
      <c r="B69" s="3" t="n">
        <v>45316</v>
      </c>
      <c r="C69" s="0" t="n">
        <v>73</v>
      </c>
      <c r="D69" s="4" t="s">
        <v>13</v>
      </c>
      <c r="E69" s="4" t="s">
        <v>20</v>
      </c>
      <c r="F69" s="0" t="n">
        <v>10</v>
      </c>
      <c r="G69" s="5" t="n">
        <v>92.96</v>
      </c>
      <c r="H69" s="6" t="n">
        <v>0</v>
      </c>
      <c r="I69" s="5" t="n">
        <f aca="false">F69*G69*(1-H69)</f>
        <v>929.6</v>
      </c>
      <c r="J69" s="4" t="s">
        <v>28</v>
      </c>
      <c r="K69" s="5" t="n">
        <f aca="false">VLOOKUP(D69,Products!$A$2:$E$26,4,FALSE())</f>
        <v>39.86</v>
      </c>
      <c r="L69" s="6" t="n">
        <f aca="false">(I69-F69*K69)/I69</f>
        <v>0.571213425129088</v>
      </c>
    </row>
    <row r="70" customFormat="false" ht="15" hidden="false" customHeight="false" outlineLevel="0" collapsed="false">
      <c r="A70" s="0" t="n">
        <v>10066</v>
      </c>
      <c r="B70" s="3" t="n">
        <v>45306</v>
      </c>
      <c r="C70" s="0" t="n">
        <v>51</v>
      </c>
      <c r="D70" s="4" t="s">
        <v>42</v>
      </c>
      <c r="E70" s="4" t="s">
        <v>24</v>
      </c>
      <c r="F70" s="0" t="n">
        <v>2</v>
      </c>
      <c r="G70" s="5" t="n">
        <v>79.75</v>
      </c>
      <c r="H70" s="6" t="n">
        <v>0.05</v>
      </c>
      <c r="I70" s="5" t="n">
        <f aca="false">F70*G70*(1-H70)</f>
        <v>151.525</v>
      </c>
      <c r="J70" s="4" t="s">
        <v>15</v>
      </c>
      <c r="K70" s="5" t="n">
        <f aca="false">VLOOKUP(D70,Products!$A$2:$E$26,4,FALSE())</f>
        <v>47.32</v>
      </c>
      <c r="L70" s="6" t="n">
        <f aca="false">(I70-F70*K70)/I70</f>
        <v>0.375416597921135</v>
      </c>
    </row>
    <row r="71" customFormat="false" ht="15" hidden="false" customHeight="false" outlineLevel="0" collapsed="false">
      <c r="A71" s="0" t="n">
        <v>10067</v>
      </c>
      <c r="B71" s="3" t="n">
        <v>45479</v>
      </c>
      <c r="C71" s="0" t="n">
        <v>2</v>
      </c>
      <c r="D71" s="4" t="s">
        <v>34</v>
      </c>
      <c r="E71" s="4" t="s">
        <v>21</v>
      </c>
      <c r="F71" s="0" t="n">
        <v>19</v>
      </c>
      <c r="G71" s="5" t="n">
        <v>21.58</v>
      </c>
      <c r="H71" s="6" t="n">
        <v>0</v>
      </c>
      <c r="I71" s="5" t="n">
        <f aca="false">F71*G71*(1-H71)</f>
        <v>410.02</v>
      </c>
      <c r="J71" s="4" t="s">
        <v>28</v>
      </c>
      <c r="K71" s="5" t="n">
        <f aca="false">VLOOKUP(D71,Products!$A$2:$E$26,4,FALSE())</f>
        <v>14.34</v>
      </c>
      <c r="L71" s="6" t="n">
        <f aca="false">(I71-F71*K71)/I71</f>
        <v>0.335495829471733</v>
      </c>
    </row>
    <row r="72" customFormat="false" ht="15" hidden="false" customHeight="false" outlineLevel="0" collapsed="false">
      <c r="A72" s="0" t="n">
        <v>10068</v>
      </c>
      <c r="B72" s="3" t="n">
        <v>45429</v>
      </c>
      <c r="C72" s="0" t="n">
        <v>39</v>
      </c>
      <c r="D72" s="4" t="s">
        <v>22</v>
      </c>
      <c r="E72" s="4" t="s">
        <v>21</v>
      </c>
      <c r="F72" s="0" t="n">
        <v>34</v>
      </c>
      <c r="G72" s="5" t="n">
        <v>51.83</v>
      </c>
      <c r="H72" s="6" t="n">
        <v>0</v>
      </c>
      <c r="I72" s="5" t="n">
        <f aca="false">F72*G72*(1-H72)</f>
        <v>1762.22</v>
      </c>
      <c r="J72" s="4" t="s">
        <v>18</v>
      </c>
      <c r="K72" s="5" t="n">
        <f aca="false">VLOOKUP(D72,Products!$A$2:$E$26,4,FALSE())</f>
        <v>26.06</v>
      </c>
      <c r="L72" s="6" t="n">
        <f aca="false">(I72-F72*K72)/I72</f>
        <v>0.497202392436813</v>
      </c>
    </row>
    <row r="73" customFormat="false" ht="15" hidden="false" customHeight="false" outlineLevel="0" collapsed="false">
      <c r="A73" s="0" t="n">
        <v>10069</v>
      </c>
      <c r="B73" s="3" t="n">
        <v>45309</v>
      </c>
      <c r="C73" s="0" t="n">
        <v>27</v>
      </c>
      <c r="D73" s="4" t="s">
        <v>19</v>
      </c>
      <c r="E73" s="4" t="s">
        <v>14</v>
      </c>
      <c r="F73" s="0" t="n">
        <v>15</v>
      </c>
      <c r="G73" s="5" t="n">
        <v>204.85</v>
      </c>
      <c r="H73" s="6" t="n">
        <v>0.05</v>
      </c>
      <c r="I73" s="5" t="n">
        <f aca="false">F73*G73*(1-H73)</f>
        <v>2919.1125</v>
      </c>
      <c r="J73" s="4" t="s">
        <v>18</v>
      </c>
      <c r="K73" s="5" t="n">
        <f aca="false">VLOOKUP(D73,Products!$A$2:$E$26,4,FALSE())</f>
        <v>83.93</v>
      </c>
      <c r="L73" s="6" t="n">
        <f aca="false">(I73-F73*K73)/I73</f>
        <v>0.568721657695618</v>
      </c>
    </row>
    <row r="74" customFormat="false" ht="15" hidden="false" customHeight="false" outlineLevel="0" collapsed="false">
      <c r="A74" s="0" t="n">
        <v>10070</v>
      </c>
      <c r="B74" s="3" t="n">
        <v>45422</v>
      </c>
      <c r="C74" s="0" t="n">
        <v>8</v>
      </c>
      <c r="D74" s="4" t="s">
        <v>26</v>
      </c>
      <c r="E74" s="4" t="s">
        <v>24</v>
      </c>
      <c r="F74" s="0" t="n">
        <v>1</v>
      </c>
      <c r="G74" s="5" t="n">
        <v>53.26</v>
      </c>
      <c r="H74" s="6" t="n">
        <v>0.05</v>
      </c>
      <c r="I74" s="5" t="n">
        <f aca="false">F74*G74*(1-H74)</f>
        <v>50.597</v>
      </c>
      <c r="J74" s="4" t="s">
        <v>15</v>
      </c>
      <c r="K74" s="5" t="n">
        <f aca="false">VLOOKUP(D74,Products!$A$2:$E$26,4,FALSE())</f>
        <v>22.68</v>
      </c>
      <c r="L74" s="6" t="n">
        <f aca="false">(I74-F74*K74)/I74</f>
        <v>0.551752080162856</v>
      </c>
    </row>
    <row r="75" customFormat="false" ht="15" hidden="false" customHeight="false" outlineLevel="0" collapsed="false">
      <c r="A75" s="0" t="n">
        <v>10071</v>
      </c>
      <c r="B75" s="3" t="n">
        <v>45379</v>
      </c>
      <c r="C75" s="0" t="n">
        <v>33</v>
      </c>
      <c r="D75" s="4" t="s">
        <v>37</v>
      </c>
      <c r="E75" s="4" t="s">
        <v>24</v>
      </c>
      <c r="F75" s="0" t="n">
        <v>4</v>
      </c>
      <c r="G75" s="5" t="n">
        <v>8.49</v>
      </c>
      <c r="H75" s="6" t="n">
        <v>0.15</v>
      </c>
      <c r="I75" s="5" t="n">
        <f aca="false">F75*G75*(1-H75)</f>
        <v>28.866</v>
      </c>
      <c r="J75" s="4" t="s">
        <v>15</v>
      </c>
      <c r="K75" s="5" t="n">
        <f aca="false">VLOOKUP(D75,Products!$A$2:$E$26,4,FALSE())</f>
        <v>3.88</v>
      </c>
      <c r="L75" s="6" t="n">
        <f aca="false">(I75-F75*K75)/I75</f>
        <v>0.462343241183399</v>
      </c>
    </row>
    <row r="76" customFormat="false" ht="15" hidden="false" customHeight="false" outlineLevel="0" collapsed="false">
      <c r="A76" s="0" t="n">
        <v>10072</v>
      </c>
      <c r="B76" s="3" t="n">
        <v>45387</v>
      </c>
      <c r="C76" s="0" t="n">
        <v>14</v>
      </c>
      <c r="D76" s="4" t="s">
        <v>45</v>
      </c>
      <c r="E76" s="4" t="s">
        <v>14</v>
      </c>
      <c r="F76" s="0" t="n">
        <v>32</v>
      </c>
      <c r="G76" s="5" t="n">
        <v>100.6</v>
      </c>
      <c r="H76" s="6" t="n">
        <v>0.05</v>
      </c>
      <c r="I76" s="5" t="n">
        <f aca="false">F76*G76*(1-H76)</f>
        <v>3058.24</v>
      </c>
      <c r="J76" s="4" t="s">
        <v>15</v>
      </c>
      <c r="K76" s="5" t="n">
        <f aca="false">VLOOKUP(D76,Products!$A$2:$E$26,4,FALSE())</f>
        <v>41.2</v>
      </c>
      <c r="L76" s="6" t="n">
        <f aca="false">(I76-F76*K76)/I76</f>
        <v>0.56890237522235</v>
      </c>
    </row>
    <row r="77" customFormat="false" ht="15" hidden="false" customHeight="false" outlineLevel="0" collapsed="false">
      <c r="A77" s="0" t="n">
        <v>10073</v>
      </c>
      <c r="B77" s="3" t="n">
        <v>45652</v>
      </c>
      <c r="C77" s="0" t="n">
        <v>51</v>
      </c>
      <c r="D77" s="4" t="s">
        <v>35</v>
      </c>
      <c r="E77" s="4" t="s">
        <v>20</v>
      </c>
      <c r="F77" s="0" t="n">
        <v>21</v>
      </c>
      <c r="G77" s="5" t="n">
        <v>405.62</v>
      </c>
      <c r="H77" s="6" t="n">
        <v>0</v>
      </c>
      <c r="I77" s="5" t="n">
        <f aca="false">F77*G77*(1-H77)</f>
        <v>8518.02</v>
      </c>
      <c r="J77" s="4" t="s">
        <v>15</v>
      </c>
      <c r="K77" s="5" t="n">
        <f aca="false">VLOOKUP(D77,Products!$A$2:$E$26,4,FALSE())</f>
        <v>244.6</v>
      </c>
      <c r="L77" s="6" t="n">
        <f aca="false">(I77-F77*K77)/I77</f>
        <v>0.396972535871012</v>
      </c>
    </row>
    <row r="78" customFormat="false" ht="15" hidden="false" customHeight="false" outlineLevel="0" collapsed="false">
      <c r="A78" s="0" t="n">
        <v>10074</v>
      </c>
      <c r="B78" s="3" t="n">
        <v>45347</v>
      </c>
      <c r="C78" s="0" t="n">
        <v>38</v>
      </c>
      <c r="D78" s="4" t="s">
        <v>36</v>
      </c>
      <c r="E78" s="4" t="s">
        <v>20</v>
      </c>
      <c r="F78" s="0" t="n">
        <v>26</v>
      </c>
      <c r="G78" s="5" t="n">
        <v>53.48</v>
      </c>
      <c r="H78" s="6" t="n">
        <v>0.15</v>
      </c>
      <c r="I78" s="5" t="n">
        <f aca="false">F78*G78*(1-H78)</f>
        <v>1181.908</v>
      </c>
      <c r="J78" s="4" t="s">
        <v>28</v>
      </c>
      <c r="K78" s="5" t="n">
        <f aca="false">VLOOKUP(D78,Products!$A$2:$E$26,4,FALSE())</f>
        <v>23.74</v>
      </c>
      <c r="L78" s="6" t="n">
        <f aca="false">(I78-F78*K78)/I78</f>
        <v>0.47775969026354</v>
      </c>
    </row>
    <row r="79" customFormat="false" ht="15" hidden="false" customHeight="false" outlineLevel="0" collapsed="false">
      <c r="A79" s="0" t="n">
        <v>10075</v>
      </c>
      <c r="B79" s="3" t="n">
        <v>45634</v>
      </c>
      <c r="C79" s="0" t="n">
        <v>45</v>
      </c>
      <c r="D79" s="4" t="s">
        <v>43</v>
      </c>
      <c r="E79" s="4" t="s">
        <v>24</v>
      </c>
      <c r="F79" s="0" t="n">
        <v>28</v>
      </c>
      <c r="G79" s="5" t="n">
        <v>207.97</v>
      </c>
      <c r="H79" s="6" t="n">
        <v>0.05</v>
      </c>
      <c r="I79" s="5" t="n">
        <f aca="false">F79*G79*(1-H79)</f>
        <v>5532.002</v>
      </c>
      <c r="J79" s="4" t="s">
        <v>15</v>
      </c>
      <c r="K79" s="5" t="n">
        <f aca="false">VLOOKUP(D79,Products!$A$2:$E$26,4,FALSE())</f>
        <v>126.91</v>
      </c>
      <c r="L79" s="6" t="n">
        <f aca="false">(I79-F79*K79)/I79</f>
        <v>0.357650268383851</v>
      </c>
    </row>
    <row r="80" customFormat="false" ht="15" hidden="false" customHeight="false" outlineLevel="0" collapsed="false">
      <c r="A80" s="0" t="n">
        <v>10076</v>
      </c>
      <c r="B80" s="3" t="n">
        <v>45483</v>
      </c>
      <c r="C80" s="0" t="n">
        <v>12</v>
      </c>
      <c r="D80" s="4" t="s">
        <v>34</v>
      </c>
      <c r="E80" s="4" t="s">
        <v>24</v>
      </c>
      <c r="F80" s="0" t="n">
        <v>3</v>
      </c>
      <c r="G80" s="5" t="n">
        <v>22.33</v>
      </c>
      <c r="H80" s="6" t="n">
        <v>0.05</v>
      </c>
      <c r="I80" s="5" t="n">
        <f aca="false">F80*G80*(1-H80)</f>
        <v>63.6405</v>
      </c>
      <c r="J80" s="4" t="s">
        <v>18</v>
      </c>
      <c r="K80" s="5" t="n">
        <f aca="false">VLOOKUP(D80,Products!$A$2:$E$26,4,FALSE())</f>
        <v>14.34</v>
      </c>
      <c r="L80" s="6" t="n">
        <f aca="false">(I80-F80*K80)/I80</f>
        <v>0.324015367572536</v>
      </c>
    </row>
    <row r="81" customFormat="false" ht="15" hidden="false" customHeight="false" outlineLevel="0" collapsed="false">
      <c r="A81" s="0" t="n">
        <v>10077</v>
      </c>
      <c r="B81" s="3" t="n">
        <v>45656</v>
      </c>
      <c r="C81" s="0" t="n">
        <v>90</v>
      </c>
      <c r="D81" s="4" t="s">
        <v>23</v>
      </c>
      <c r="E81" s="4" t="s">
        <v>20</v>
      </c>
      <c r="F81" s="0" t="n">
        <v>6</v>
      </c>
      <c r="G81" s="5" t="n">
        <v>124.85</v>
      </c>
      <c r="H81" s="6" t="n">
        <v>0</v>
      </c>
      <c r="I81" s="5" t="n">
        <f aca="false">F81*G81*(1-H81)</f>
        <v>749.1</v>
      </c>
      <c r="J81" s="4" t="s">
        <v>15</v>
      </c>
      <c r="K81" s="5" t="n">
        <f aca="false">VLOOKUP(D81,Products!$A$2:$E$26,4,FALSE())</f>
        <v>75.38</v>
      </c>
      <c r="L81" s="6" t="n">
        <f aca="false">(I81-F81*K81)/I81</f>
        <v>0.396235482579095</v>
      </c>
    </row>
    <row r="82" customFormat="false" ht="15" hidden="false" customHeight="false" outlineLevel="0" collapsed="false">
      <c r="A82" s="0" t="n">
        <v>10078</v>
      </c>
      <c r="B82" s="3" t="n">
        <v>45331</v>
      </c>
      <c r="C82" s="0" t="n">
        <v>31</v>
      </c>
      <c r="D82" s="4" t="s">
        <v>33</v>
      </c>
      <c r="E82" s="4" t="s">
        <v>14</v>
      </c>
      <c r="F82" s="0" t="n">
        <v>7</v>
      </c>
      <c r="G82" s="5" t="n">
        <v>41.79</v>
      </c>
      <c r="H82" s="6" t="n">
        <v>0</v>
      </c>
      <c r="I82" s="5" t="n">
        <f aca="false">F82*G82*(1-H82)</f>
        <v>292.53</v>
      </c>
      <c r="J82" s="4" t="s">
        <v>28</v>
      </c>
      <c r="K82" s="5" t="n">
        <f aca="false">VLOOKUP(D82,Products!$A$2:$E$26,4,FALSE())</f>
        <v>28.4</v>
      </c>
      <c r="L82" s="6" t="n">
        <f aca="false">(I82-F82*K82)/I82</f>
        <v>0.320411581718114</v>
      </c>
    </row>
    <row r="83" customFormat="false" ht="15" hidden="false" customHeight="false" outlineLevel="0" collapsed="false">
      <c r="A83" s="0" t="n">
        <v>10079</v>
      </c>
      <c r="B83" s="3" t="n">
        <v>45434</v>
      </c>
      <c r="C83" s="0" t="n">
        <v>4</v>
      </c>
      <c r="D83" s="4" t="s">
        <v>32</v>
      </c>
      <c r="E83" s="4" t="s">
        <v>20</v>
      </c>
      <c r="F83" s="0" t="n">
        <v>37</v>
      </c>
      <c r="G83" s="5" t="n">
        <v>341.61</v>
      </c>
      <c r="H83" s="6" t="n">
        <v>0</v>
      </c>
      <c r="I83" s="5" t="n">
        <f aca="false">F83*G83*(1-H83)</f>
        <v>12639.57</v>
      </c>
      <c r="J83" s="4" t="s">
        <v>15</v>
      </c>
      <c r="K83" s="5" t="n">
        <f aca="false">VLOOKUP(D83,Products!$A$2:$E$26,4,FALSE())</f>
        <v>144.3</v>
      </c>
      <c r="L83" s="6" t="n">
        <f aca="false">(I83-F83*K83)/I83</f>
        <v>0.577588478089049</v>
      </c>
    </row>
    <row r="84" customFormat="false" ht="15" hidden="false" customHeight="false" outlineLevel="0" collapsed="false">
      <c r="A84" s="0" t="n">
        <v>10080</v>
      </c>
      <c r="B84" s="3" t="n">
        <v>45514</v>
      </c>
      <c r="C84" s="0" t="n">
        <v>62</v>
      </c>
      <c r="D84" s="4" t="s">
        <v>37</v>
      </c>
      <c r="E84" s="4" t="s">
        <v>24</v>
      </c>
      <c r="F84" s="0" t="n">
        <v>7</v>
      </c>
      <c r="G84" s="5" t="n">
        <v>8.07</v>
      </c>
      <c r="H84" s="6" t="n">
        <v>0.15</v>
      </c>
      <c r="I84" s="5" t="n">
        <f aca="false">F84*G84*(1-H84)</f>
        <v>48.0165</v>
      </c>
      <c r="J84" s="4" t="s">
        <v>28</v>
      </c>
      <c r="K84" s="5" t="n">
        <f aca="false">VLOOKUP(D84,Products!$A$2:$E$26,4,FALSE())</f>
        <v>3.88</v>
      </c>
      <c r="L84" s="6" t="n">
        <f aca="false">(I84-F84*K84)/I84</f>
        <v>0.43436110503681</v>
      </c>
    </row>
    <row r="85" customFormat="false" ht="15" hidden="false" customHeight="false" outlineLevel="0" collapsed="false">
      <c r="A85" s="0" t="n">
        <v>10081</v>
      </c>
      <c r="B85" s="3" t="n">
        <v>45341</v>
      </c>
      <c r="C85" s="0" t="n">
        <v>31</v>
      </c>
      <c r="D85" s="4" t="s">
        <v>32</v>
      </c>
      <c r="E85" s="4" t="s">
        <v>24</v>
      </c>
      <c r="F85" s="0" t="n">
        <v>30</v>
      </c>
      <c r="G85" s="5" t="n">
        <v>344.25</v>
      </c>
      <c r="H85" s="6" t="n">
        <v>0.05</v>
      </c>
      <c r="I85" s="5" t="n">
        <f aca="false">F85*G85*(1-H85)</f>
        <v>9811.125</v>
      </c>
      <c r="J85" s="4" t="s">
        <v>18</v>
      </c>
      <c r="K85" s="5" t="n">
        <f aca="false">VLOOKUP(D85,Products!$A$2:$E$26,4,FALSE())</f>
        <v>144.3</v>
      </c>
      <c r="L85" s="6" t="n">
        <f aca="false">(I85-F85*K85)/I85</f>
        <v>0.558766196537094</v>
      </c>
    </row>
    <row r="86" customFormat="false" ht="15" hidden="false" customHeight="false" outlineLevel="0" collapsed="false">
      <c r="A86" s="0" t="n">
        <v>10082</v>
      </c>
      <c r="B86" s="3" t="n">
        <v>45379</v>
      </c>
      <c r="C86" s="0" t="n">
        <v>7</v>
      </c>
      <c r="D86" s="4" t="s">
        <v>13</v>
      </c>
      <c r="E86" s="4" t="s">
        <v>21</v>
      </c>
      <c r="F86" s="0" t="n">
        <v>31</v>
      </c>
      <c r="G86" s="5" t="n">
        <v>94.58</v>
      </c>
      <c r="H86" s="6" t="n">
        <v>0</v>
      </c>
      <c r="I86" s="5" t="n">
        <f aca="false">F86*G86*(1-H86)</f>
        <v>2931.98</v>
      </c>
      <c r="J86" s="4" t="s">
        <v>15</v>
      </c>
      <c r="K86" s="5" t="n">
        <f aca="false">VLOOKUP(D86,Products!$A$2:$E$26,4,FALSE())</f>
        <v>39.86</v>
      </c>
      <c r="L86" s="6" t="n">
        <f aca="false">(I86-F86*K86)/I86</f>
        <v>0.578557834637344</v>
      </c>
    </row>
    <row r="87" customFormat="false" ht="15" hidden="false" customHeight="false" outlineLevel="0" collapsed="false">
      <c r="A87" s="0" t="n">
        <v>10083</v>
      </c>
      <c r="B87" s="3" t="n">
        <v>45411</v>
      </c>
      <c r="C87" s="0" t="n">
        <v>23</v>
      </c>
      <c r="D87" s="4" t="s">
        <v>25</v>
      </c>
      <c r="E87" s="4" t="s">
        <v>24</v>
      </c>
      <c r="F87" s="0" t="n">
        <v>13</v>
      </c>
      <c r="G87" s="5" t="n">
        <v>202.47</v>
      </c>
      <c r="H87" s="6" t="n">
        <v>0</v>
      </c>
      <c r="I87" s="5" t="n">
        <f aca="false">F87*G87*(1-H87)</f>
        <v>2632.11</v>
      </c>
      <c r="J87" s="4" t="s">
        <v>15</v>
      </c>
      <c r="K87" s="5" t="n">
        <f aca="false">VLOOKUP(D87,Products!$A$2:$E$26,4,FALSE())</f>
        <v>128.85</v>
      </c>
      <c r="L87" s="6" t="n">
        <f aca="false">(I87-F87*K87)/I87</f>
        <v>0.363609423618314</v>
      </c>
    </row>
    <row r="88" customFormat="false" ht="15" hidden="false" customHeight="false" outlineLevel="0" collapsed="false">
      <c r="A88" s="0" t="n">
        <v>10084</v>
      </c>
      <c r="B88" s="3" t="n">
        <v>45471</v>
      </c>
      <c r="C88" s="0" t="n">
        <v>14</v>
      </c>
      <c r="D88" s="4" t="s">
        <v>35</v>
      </c>
      <c r="E88" s="4" t="s">
        <v>20</v>
      </c>
      <c r="F88" s="0" t="n">
        <v>29</v>
      </c>
      <c r="G88" s="5" t="n">
        <v>384.17</v>
      </c>
      <c r="H88" s="6" t="n">
        <v>0</v>
      </c>
      <c r="I88" s="5" t="n">
        <f aca="false">F88*G88*(1-H88)</f>
        <v>11140.93</v>
      </c>
      <c r="J88" s="4" t="s">
        <v>15</v>
      </c>
      <c r="K88" s="5" t="n">
        <f aca="false">VLOOKUP(D88,Products!$A$2:$E$26,4,FALSE())</f>
        <v>244.6</v>
      </c>
      <c r="L88" s="6" t="n">
        <f aca="false">(I88-F88*K88)/I88</f>
        <v>0.363302704531848</v>
      </c>
    </row>
    <row r="89" customFormat="false" ht="15" hidden="false" customHeight="false" outlineLevel="0" collapsed="false">
      <c r="A89" s="0" t="n">
        <v>10085</v>
      </c>
      <c r="B89" s="3" t="n">
        <v>45368</v>
      </c>
      <c r="C89" s="0" t="n">
        <v>28</v>
      </c>
      <c r="D89" s="4" t="s">
        <v>32</v>
      </c>
      <c r="E89" s="4" t="s">
        <v>14</v>
      </c>
      <c r="F89" s="0" t="n">
        <v>32</v>
      </c>
      <c r="G89" s="5" t="n">
        <v>369.68</v>
      </c>
      <c r="H89" s="6" t="n">
        <v>0.15</v>
      </c>
      <c r="I89" s="5" t="n">
        <f aca="false">F89*G89*(1-H89)</f>
        <v>10055.296</v>
      </c>
      <c r="J89" s="4" t="s">
        <v>15</v>
      </c>
      <c r="K89" s="5" t="n">
        <f aca="false">VLOOKUP(D89,Products!$A$2:$E$26,4,FALSE())</f>
        <v>144.3</v>
      </c>
      <c r="L89" s="6" t="n">
        <f aca="false">(I89-F89*K89)/I89</f>
        <v>0.540779306745421</v>
      </c>
    </row>
    <row r="90" customFormat="false" ht="15" hidden="false" customHeight="false" outlineLevel="0" collapsed="false">
      <c r="A90" s="0" t="n">
        <v>10086</v>
      </c>
      <c r="B90" s="3" t="n">
        <v>45482</v>
      </c>
      <c r="C90" s="0" t="n">
        <v>18</v>
      </c>
      <c r="D90" s="4" t="s">
        <v>33</v>
      </c>
      <c r="E90" s="4" t="s">
        <v>24</v>
      </c>
      <c r="F90" s="0" t="n">
        <v>39</v>
      </c>
      <c r="G90" s="5" t="n">
        <v>44.41</v>
      </c>
      <c r="H90" s="6" t="n">
        <v>0</v>
      </c>
      <c r="I90" s="5" t="n">
        <f aca="false">F90*G90*(1-H90)</f>
        <v>1731.99</v>
      </c>
      <c r="J90" s="4" t="s">
        <v>15</v>
      </c>
      <c r="K90" s="5" t="n">
        <f aca="false">VLOOKUP(D90,Products!$A$2:$E$26,4,FALSE())</f>
        <v>28.4</v>
      </c>
      <c r="L90" s="6" t="n">
        <f aca="false">(I90-F90*K90)/I90</f>
        <v>0.36050439090295</v>
      </c>
    </row>
    <row r="91" customFormat="false" ht="15" hidden="false" customHeight="false" outlineLevel="0" collapsed="false">
      <c r="A91" s="0" t="n">
        <v>10087</v>
      </c>
      <c r="B91" s="3" t="n">
        <v>45420</v>
      </c>
      <c r="C91" s="0" t="n">
        <v>53</v>
      </c>
      <c r="D91" s="4" t="s">
        <v>41</v>
      </c>
      <c r="E91" s="4" t="s">
        <v>21</v>
      </c>
      <c r="F91" s="0" t="n">
        <v>40</v>
      </c>
      <c r="G91" s="5" t="n">
        <v>26.91</v>
      </c>
      <c r="H91" s="6" t="n">
        <v>0.15</v>
      </c>
      <c r="I91" s="5" t="n">
        <f aca="false">F91*G91*(1-H91)</f>
        <v>914.94</v>
      </c>
      <c r="J91" s="4" t="s">
        <v>18</v>
      </c>
      <c r="K91" s="5" t="n">
        <f aca="false">VLOOKUP(D91,Products!$A$2:$E$26,4,FALSE())</f>
        <v>12.46</v>
      </c>
      <c r="L91" s="6" t="n">
        <f aca="false">(I91-F91*K91)/I91</f>
        <v>0.455264826108816</v>
      </c>
    </row>
    <row r="92" customFormat="false" ht="15" hidden="false" customHeight="false" outlineLevel="0" collapsed="false">
      <c r="A92" s="0" t="n">
        <v>10088</v>
      </c>
      <c r="B92" s="3" t="n">
        <v>45562</v>
      </c>
      <c r="C92" s="0" t="n">
        <v>68</v>
      </c>
      <c r="D92" s="4" t="s">
        <v>43</v>
      </c>
      <c r="E92" s="4" t="s">
        <v>24</v>
      </c>
      <c r="F92" s="0" t="n">
        <v>25</v>
      </c>
      <c r="G92" s="5" t="n">
        <v>220.93</v>
      </c>
      <c r="H92" s="6" t="n">
        <v>0</v>
      </c>
      <c r="I92" s="5" t="n">
        <f aca="false">F92*G92*(1-H92)</f>
        <v>5523.25</v>
      </c>
      <c r="J92" s="4" t="s">
        <v>28</v>
      </c>
      <c r="K92" s="5" t="n">
        <f aca="false">VLOOKUP(D92,Products!$A$2:$E$26,4,FALSE())</f>
        <v>126.91</v>
      </c>
      <c r="L92" s="6" t="n">
        <f aca="false">(I92-F92*K92)/I92</f>
        <v>0.425564658489114</v>
      </c>
    </row>
    <row r="93" customFormat="false" ht="15" hidden="false" customHeight="false" outlineLevel="0" collapsed="false">
      <c r="A93" s="0" t="n">
        <v>10089</v>
      </c>
      <c r="B93" s="3" t="n">
        <v>45588</v>
      </c>
      <c r="C93" s="0" t="n">
        <v>40</v>
      </c>
      <c r="D93" s="4" t="s">
        <v>17</v>
      </c>
      <c r="E93" s="4" t="s">
        <v>24</v>
      </c>
      <c r="F93" s="0" t="n">
        <v>30</v>
      </c>
      <c r="G93" s="5" t="n">
        <v>86.18</v>
      </c>
      <c r="H93" s="6" t="n">
        <v>0</v>
      </c>
      <c r="I93" s="5" t="n">
        <f aca="false">F93*G93*(1-H93)</f>
        <v>2585.4</v>
      </c>
      <c r="J93" s="4" t="s">
        <v>18</v>
      </c>
      <c r="K93" s="5" t="n">
        <f aca="false">VLOOKUP(D93,Products!$A$2:$E$26,4,FALSE())</f>
        <v>38.24</v>
      </c>
      <c r="L93" s="6" t="n">
        <f aca="false">(I93-F93*K93)/I93</f>
        <v>0.556277558598283</v>
      </c>
    </row>
    <row r="94" customFormat="false" ht="15" hidden="false" customHeight="false" outlineLevel="0" collapsed="false">
      <c r="A94" s="0" t="n">
        <v>10090</v>
      </c>
      <c r="B94" s="3" t="n">
        <v>45312</v>
      </c>
      <c r="C94" s="0" t="n">
        <v>15</v>
      </c>
      <c r="D94" s="4" t="s">
        <v>22</v>
      </c>
      <c r="E94" s="4" t="s">
        <v>20</v>
      </c>
      <c r="F94" s="0" t="n">
        <v>20</v>
      </c>
      <c r="G94" s="5" t="n">
        <v>50.81</v>
      </c>
      <c r="H94" s="6" t="n">
        <v>0</v>
      </c>
      <c r="I94" s="5" t="n">
        <f aca="false">F94*G94*(1-H94)</f>
        <v>1016.2</v>
      </c>
      <c r="J94" s="4" t="s">
        <v>15</v>
      </c>
      <c r="K94" s="5" t="n">
        <f aca="false">VLOOKUP(D94,Products!$A$2:$E$26,4,FALSE())</f>
        <v>26.06</v>
      </c>
      <c r="L94" s="6" t="n">
        <f aca="false">(I94-F94*K94)/I94</f>
        <v>0.487108836843141</v>
      </c>
    </row>
    <row r="95" customFormat="false" ht="15" hidden="false" customHeight="false" outlineLevel="0" collapsed="false">
      <c r="A95" s="0" t="n">
        <v>10091</v>
      </c>
      <c r="B95" s="3" t="n">
        <v>45515</v>
      </c>
      <c r="C95" s="0" t="n">
        <v>71</v>
      </c>
      <c r="D95" s="4" t="s">
        <v>16</v>
      </c>
      <c r="E95" s="4" t="s">
        <v>21</v>
      </c>
      <c r="F95" s="0" t="n">
        <v>40</v>
      </c>
      <c r="G95" s="5" t="n">
        <v>148.84</v>
      </c>
      <c r="H95" s="6" t="n">
        <v>0</v>
      </c>
      <c r="I95" s="5" t="n">
        <f aca="false">F95*G95*(1-H95)</f>
        <v>5953.6</v>
      </c>
      <c r="J95" s="4" t="s">
        <v>28</v>
      </c>
      <c r="K95" s="5" t="n">
        <f aca="false">VLOOKUP(D95,Products!$A$2:$E$26,4,FALSE())</f>
        <v>72.1</v>
      </c>
      <c r="L95" s="6" t="n">
        <f aca="false">(I95-F95*K95)/I95</f>
        <v>0.515587207739855</v>
      </c>
    </row>
    <row r="96" customFormat="false" ht="15" hidden="false" customHeight="false" outlineLevel="0" collapsed="false">
      <c r="A96" s="0" t="n">
        <v>10092</v>
      </c>
      <c r="B96" s="3" t="n">
        <v>45632</v>
      </c>
      <c r="C96" s="0" t="n">
        <v>79</v>
      </c>
      <c r="D96" s="4" t="s">
        <v>37</v>
      </c>
      <c r="E96" s="4" t="s">
        <v>20</v>
      </c>
      <c r="F96" s="0" t="n">
        <v>25</v>
      </c>
      <c r="G96" s="5" t="n">
        <v>8.56</v>
      </c>
      <c r="H96" s="6" t="n">
        <v>0.05</v>
      </c>
      <c r="I96" s="5" t="n">
        <f aca="false">F96*G96*(1-H96)</f>
        <v>203.3</v>
      </c>
      <c r="J96" s="4" t="s">
        <v>15</v>
      </c>
      <c r="K96" s="5" t="n">
        <f aca="false">VLOOKUP(D96,Products!$A$2:$E$26,4,FALSE())</f>
        <v>3.88</v>
      </c>
      <c r="L96" s="6" t="n">
        <f aca="false">(I96-F96*K96)/I96</f>
        <v>0.522872602065912</v>
      </c>
    </row>
    <row r="97" customFormat="false" ht="15" hidden="false" customHeight="false" outlineLevel="0" collapsed="false">
      <c r="A97" s="0" t="n">
        <v>10093</v>
      </c>
      <c r="B97" s="3" t="n">
        <v>45472</v>
      </c>
      <c r="C97" s="0" t="n">
        <v>55</v>
      </c>
      <c r="D97" s="4" t="s">
        <v>17</v>
      </c>
      <c r="E97" s="4" t="s">
        <v>21</v>
      </c>
      <c r="F97" s="0" t="n">
        <v>14</v>
      </c>
      <c r="G97" s="5" t="n">
        <v>89.2</v>
      </c>
      <c r="H97" s="6" t="n">
        <v>0.15</v>
      </c>
      <c r="I97" s="5" t="n">
        <f aca="false">F97*G97*(1-H97)</f>
        <v>1061.48</v>
      </c>
      <c r="J97" s="4" t="s">
        <v>18</v>
      </c>
      <c r="K97" s="5" t="n">
        <f aca="false">VLOOKUP(D97,Products!$A$2:$E$26,4,FALSE())</f>
        <v>38.24</v>
      </c>
      <c r="L97" s="6" t="n">
        <f aca="false">(I97-F97*K97)/I97</f>
        <v>0.495647586388816</v>
      </c>
    </row>
    <row r="98" customFormat="false" ht="15" hidden="false" customHeight="false" outlineLevel="0" collapsed="false">
      <c r="A98" s="0" t="n">
        <v>10094</v>
      </c>
      <c r="B98" s="3" t="n">
        <v>45386</v>
      </c>
      <c r="C98" s="0" t="n">
        <v>48</v>
      </c>
      <c r="D98" s="4" t="s">
        <v>44</v>
      </c>
      <c r="E98" s="4" t="s">
        <v>24</v>
      </c>
      <c r="F98" s="0" t="n">
        <v>14</v>
      </c>
      <c r="G98" s="5" t="n">
        <v>32.05</v>
      </c>
      <c r="H98" s="6" t="n">
        <v>0</v>
      </c>
      <c r="I98" s="5" t="n">
        <f aca="false">F98*G98*(1-H98)</f>
        <v>448.7</v>
      </c>
      <c r="J98" s="4" t="s">
        <v>18</v>
      </c>
      <c r="K98" s="5" t="n">
        <f aca="false">VLOOKUP(D98,Products!$A$2:$E$26,4,FALSE())</f>
        <v>18.41</v>
      </c>
      <c r="L98" s="6" t="n">
        <f aca="false">(I98-F98*K98)/I98</f>
        <v>0.425585023400936</v>
      </c>
    </row>
    <row r="99" customFormat="false" ht="15" hidden="false" customHeight="false" outlineLevel="0" collapsed="false">
      <c r="A99" s="0" t="n">
        <v>10095</v>
      </c>
      <c r="B99" s="3" t="n">
        <v>45654</v>
      </c>
      <c r="C99" s="0" t="n">
        <v>46</v>
      </c>
      <c r="D99" s="4" t="s">
        <v>31</v>
      </c>
      <c r="E99" s="4" t="s">
        <v>14</v>
      </c>
      <c r="F99" s="0" t="n">
        <v>24</v>
      </c>
      <c r="G99" s="5" t="n">
        <v>43.56</v>
      </c>
      <c r="H99" s="6" t="n">
        <v>0</v>
      </c>
      <c r="I99" s="5" t="n">
        <f aca="false">F99*G99*(1-H99)</f>
        <v>1045.44</v>
      </c>
      <c r="J99" s="4" t="s">
        <v>18</v>
      </c>
      <c r="K99" s="5" t="n">
        <f aca="false">VLOOKUP(D99,Products!$A$2:$E$26,4,FALSE())</f>
        <v>23.25</v>
      </c>
      <c r="L99" s="6" t="n">
        <f aca="false">(I99-F99*K99)/I99</f>
        <v>0.466253443526171</v>
      </c>
    </row>
    <row r="100" customFormat="false" ht="15" hidden="false" customHeight="false" outlineLevel="0" collapsed="false">
      <c r="A100" s="0" t="n">
        <v>10096</v>
      </c>
      <c r="B100" s="3" t="n">
        <v>45461</v>
      </c>
      <c r="C100" s="0" t="n">
        <v>45</v>
      </c>
      <c r="D100" s="4" t="s">
        <v>23</v>
      </c>
      <c r="E100" s="4" t="s">
        <v>14</v>
      </c>
      <c r="F100" s="0" t="n">
        <v>13</v>
      </c>
      <c r="G100" s="5" t="n">
        <v>123.99</v>
      </c>
      <c r="H100" s="6" t="n">
        <v>0</v>
      </c>
      <c r="I100" s="5" t="n">
        <f aca="false">F100*G100*(1-H100)</f>
        <v>1611.87</v>
      </c>
      <c r="J100" s="4" t="s">
        <v>15</v>
      </c>
      <c r="K100" s="5" t="n">
        <f aca="false">VLOOKUP(D100,Products!$A$2:$E$26,4,FALSE())</f>
        <v>75.38</v>
      </c>
      <c r="L100" s="6" t="n">
        <f aca="false">(I100-F100*K100)/I100</f>
        <v>0.392047745785951</v>
      </c>
    </row>
    <row r="101" customFormat="false" ht="15" hidden="false" customHeight="false" outlineLevel="0" collapsed="false">
      <c r="A101" s="0" t="n">
        <v>10097</v>
      </c>
      <c r="B101" s="3" t="n">
        <v>45417</v>
      </c>
      <c r="C101" s="0" t="n">
        <v>59</v>
      </c>
      <c r="D101" s="4" t="s">
        <v>16</v>
      </c>
      <c r="E101" s="4" t="s">
        <v>14</v>
      </c>
      <c r="F101" s="0" t="n">
        <v>26</v>
      </c>
      <c r="G101" s="5" t="n">
        <v>144.34</v>
      </c>
      <c r="H101" s="6" t="n">
        <v>0</v>
      </c>
      <c r="I101" s="5" t="n">
        <f aca="false">F101*G101*(1-H101)</f>
        <v>3752.84</v>
      </c>
      <c r="J101" s="4" t="s">
        <v>15</v>
      </c>
      <c r="K101" s="5" t="n">
        <f aca="false">VLOOKUP(D101,Products!$A$2:$E$26,4,FALSE())</f>
        <v>72.1</v>
      </c>
      <c r="L101" s="6" t="n">
        <f aca="false">(I101-F101*K101)/I101</f>
        <v>0.500484966052376</v>
      </c>
    </row>
    <row r="102" customFormat="false" ht="15" hidden="false" customHeight="false" outlineLevel="0" collapsed="false">
      <c r="A102" s="0" t="n">
        <v>10098</v>
      </c>
      <c r="B102" s="3" t="n">
        <v>45648</v>
      </c>
      <c r="C102" s="0" t="n">
        <v>24</v>
      </c>
      <c r="D102" s="4" t="s">
        <v>45</v>
      </c>
      <c r="E102" s="4" t="s">
        <v>20</v>
      </c>
      <c r="F102" s="0" t="n">
        <v>20</v>
      </c>
      <c r="G102" s="5" t="n">
        <v>100.92</v>
      </c>
      <c r="H102" s="6" t="n">
        <v>0</v>
      </c>
      <c r="I102" s="5" t="n">
        <f aca="false">F102*G102*(1-H102)</f>
        <v>2018.4</v>
      </c>
      <c r="J102" s="4" t="s">
        <v>15</v>
      </c>
      <c r="K102" s="5" t="n">
        <f aca="false">VLOOKUP(D102,Products!$A$2:$E$26,4,FALSE())</f>
        <v>41.2</v>
      </c>
      <c r="L102" s="6" t="n">
        <f aca="false">(I102-F102*K102)/I102</f>
        <v>0.591755846214824</v>
      </c>
    </row>
    <row r="103" customFormat="false" ht="15" hidden="false" customHeight="false" outlineLevel="0" collapsed="false">
      <c r="A103" s="0" t="n">
        <v>10099</v>
      </c>
      <c r="B103" s="3" t="n">
        <v>45652</v>
      </c>
      <c r="C103" s="0" t="n">
        <v>24</v>
      </c>
      <c r="D103" s="4" t="s">
        <v>25</v>
      </c>
      <c r="E103" s="4" t="s">
        <v>21</v>
      </c>
      <c r="F103" s="0" t="n">
        <v>21</v>
      </c>
      <c r="G103" s="5" t="n">
        <v>221.5</v>
      </c>
      <c r="H103" s="6" t="n">
        <v>0</v>
      </c>
      <c r="I103" s="5" t="n">
        <f aca="false">F103*G103*(1-H103)</f>
        <v>4651.5</v>
      </c>
      <c r="J103" s="4" t="s">
        <v>18</v>
      </c>
      <c r="K103" s="5" t="n">
        <f aca="false">VLOOKUP(D103,Products!$A$2:$E$26,4,FALSE())</f>
        <v>128.85</v>
      </c>
      <c r="L103" s="6" t="n">
        <f aca="false">(I103-F103*K103)/I103</f>
        <v>0.418284424379233</v>
      </c>
    </row>
    <row r="104" customFormat="false" ht="15" hidden="false" customHeight="false" outlineLevel="0" collapsed="false">
      <c r="A104" s="0" t="n">
        <v>10100</v>
      </c>
      <c r="B104" s="3" t="n">
        <v>45336</v>
      </c>
      <c r="C104" s="0" t="n">
        <v>76</v>
      </c>
      <c r="D104" s="4" t="s">
        <v>13</v>
      </c>
      <c r="E104" s="4" t="s">
        <v>14</v>
      </c>
      <c r="F104" s="0" t="n">
        <v>2</v>
      </c>
      <c r="G104" s="5" t="n">
        <v>91.69</v>
      </c>
      <c r="H104" s="6" t="n">
        <v>0</v>
      </c>
      <c r="I104" s="5" t="n">
        <f aca="false">F104*G104*(1-H104)</f>
        <v>183.38</v>
      </c>
      <c r="J104" s="4" t="s">
        <v>18</v>
      </c>
      <c r="K104" s="5" t="n">
        <f aca="false">VLOOKUP(D104,Products!$A$2:$E$26,4,FALSE())</f>
        <v>39.86</v>
      </c>
      <c r="L104" s="6" t="n">
        <f aca="false">(I104-F104*K104)/I104</f>
        <v>0.56527429381612</v>
      </c>
    </row>
    <row r="105" customFormat="false" ht="15" hidden="false" customHeight="false" outlineLevel="0" collapsed="false">
      <c r="A105" s="0" t="n">
        <v>10101</v>
      </c>
      <c r="B105" s="3" t="n">
        <v>45446</v>
      </c>
      <c r="C105" s="0" t="n">
        <v>59</v>
      </c>
      <c r="D105" s="4" t="s">
        <v>44</v>
      </c>
      <c r="E105" s="4" t="s">
        <v>21</v>
      </c>
      <c r="F105" s="0" t="n">
        <v>29</v>
      </c>
      <c r="G105" s="5" t="n">
        <v>30.57</v>
      </c>
      <c r="H105" s="6" t="n">
        <v>0</v>
      </c>
      <c r="I105" s="5" t="n">
        <f aca="false">F105*G105*(1-H105)</f>
        <v>886.53</v>
      </c>
      <c r="J105" s="4" t="s">
        <v>28</v>
      </c>
      <c r="K105" s="5" t="n">
        <f aca="false">VLOOKUP(D105,Products!$A$2:$E$26,4,FALSE())</f>
        <v>18.41</v>
      </c>
      <c r="L105" s="6" t="n">
        <f aca="false">(I105-F105*K105)/I105</f>
        <v>0.397775596990514</v>
      </c>
    </row>
    <row r="106" customFormat="false" ht="15" hidden="false" customHeight="false" outlineLevel="0" collapsed="false">
      <c r="A106" s="0" t="n">
        <v>10102</v>
      </c>
      <c r="B106" s="3" t="n">
        <v>45598</v>
      </c>
      <c r="C106" s="0" t="n">
        <v>77</v>
      </c>
      <c r="D106" s="4" t="s">
        <v>37</v>
      </c>
      <c r="E106" s="4" t="s">
        <v>14</v>
      </c>
      <c r="F106" s="0" t="n">
        <v>3</v>
      </c>
      <c r="G106" s="5" t="n">
        <v>8.29</v>
      </c>
      <c r="H106" s="6" t="n">
        <v>0</v>
      </c>
      <c r="I106" s="5" t="n">
        <f aca="false">F106*G106*(1-H106)</f>
        <v>24.87</v>
      </c>
      <c r="J106" s="4" t="s">
        <v>15</v>
      </c>
      <c r="K106" s="5" t="n">
        <f aca="false">VLOOKUP(D106,Products!$A$2:$E$26,4,FALSE())</f>
        <v>3.88</v>
      </c>
      <c r="L106" s="6" t="n">
        <f aca="false">(I106-F106*K106)/I106</f>
        <v>0.531966224366707</v>
      </c>
    </row>
    <row r="107" customFormat="false" ht="15" hidden="false" customHeight="false" outlineLevel="0" collapsed="false">
      <c r="A107" s="0" t="n">
        <v>10103</v>
      </c>
      <c r="B107" s="3" t="n">
        <v>45356</v>
      </c>
      <c r="C107" s="0" t="n">
        <v>72</v>
      </c>
      <c r="D107" s="4" t="s">
        <v>44</v>
      </c>
      <c r="E107" s="4" t="s">
        <v>14</v>
      </c>
      <c r="F107" s="0" t="n">
        <v>21</v>
      </c>
      <c r="G107" s="5" t="n">
        <v>29.52</v>
      </c>
      <c r="H107" s="6" t="n">
        <v>0.15</v>
      </c>
      <c r="I107" s="5" t="n">
        <f aca="false">F107*G107*(1-H107)</f>
        <v>526.932</v>
      </c>
      <c r="J107" s="4" t="s">
        <v>15</v>
      </c>
      <c r="K107" s="5" t="n">
        <f aca="false">VLOOKUP(D107,Products!$A$2:$E$26,4,FALSE())</f>
        <v>18.41</v>
      </c>
      <c r="L107" s="6" t="n">
        <f aca="false">(I107-F107*K107)/I107</f>
        <v>0.266300015941336</v>
      </c>
    </row>
    <row r="108" customFormat="false" ht="15" hidden="false" customHeight="false" outlineLevel="0" collapsed="false">
      <c r="A108" s="0" t="n">
        <v>10104</v>
      </c>
      <c r="B108" s="3" t="n">
        <v>45450</v>
      </c>
      <c r="C108" s="0" t="n">
        <v>16</v>
      </c>
      <c r="D108" s="4" t="s">
        <v>37</v>
      </c>
      <c r="E108" s="4" t="s">
        <v>14</v>
      </c>
      <c r="F108" s="0" t="n">
        <v>34</v>
      </c>
      <c r="G108" s="5" t="n">
        <v>7.9</v>
      </c>
      <c r="H108" s="6" t="n">
        <v>0.05</v>
      </c>
      <c r="I108" s="5" t="n">
        <f aca="false">F108*G108*(1-H108)</f>
        <v>255.17</v>
      </c>
      <c r="J108" s="4" t="s">
        <v>18</v>
      </c>
      <c r="K108" s="5" t="n">
        <f aca="false">VLOOKUP(D108,Products!$A$2:$E$26,4,FALSE())</f>
        <v>3.88</v>
      </c>
      <c r="L108" s="6" t="n">
        <f aca="false">(I108-F108*K108)/I108</f>
        <v>0.483011325782812</v>
      </c>
    </row>
    <row r="109" customFormat="false" ht="15" hidden="false" customHeight="false" outlineLevel="0" collapsed="false">
      <c r="A109" s="0" t="n">
        <v>10105</v>
      </c>
      <c r="B109" s="3" t="n">
        <v>45437</v>
      </c>
      <c r="C109" s="0" t="n">
        <v>31</v>
      </c>
      <c r="D109" s="4" t="s">
        <v>43</v>
      </c>
      <c r="E109" s="4" t="s">
        <v>14</v>
      </c>
      <c r="F109" s="0" t="n">
        <v>22</v>
      </c>
      <c r="G109" s="5" t="n">
        <v>214.07</v>
      </c>
      <c r="H109" s="6" t="n">
        <v>0.15</v>
      </c>
      <c r="I109" s="5" t="n">
        <f aca="false">F109*G109*(1-H109)</f>
        <v>4003.109</v>
      </c>
      <c r="J109" s="4" t="s">
        <v>18</v>
      </c>
      <c r="K109" s="5" t="n">
        <f aca="false">VLOOKUP(D109,Products!$A$2:$E$26,4,FALSE())</f>
        <v>126.91</v>
      </c>
      <c r="L109" s="6" t="n">
        <f aca="false">(I109-F109*K109)/I109</f>
        <v>0.302537103036665</v>
      </c>
    </row>
    <row r="110" customFormat="false" ht="15" hidden="false" customHeight="false" outlineLevel="0" collapsed="false">
      <c r="A110" s="0" t="n">
        <v>10106</v>
      </c>
      <c r="B110" s="3" t="n">
        <v>45442</v>
      </c>
      <c r="C110" s="0" t="n">
        <v>75</v>
      </c>
      <c r="D110" s="4" t="s">
        <v>43</v>
      </c>
      <c r="E110" s="4" t="s">
        <v>14</v>
      </c>
      <c r="F110" s="0" t="n">
        <v>8</v>
      </c>
      <c r="G110" s="5" t="n">
        <v>203.47</v>
      </c>
      <c r="H110" s="6" t="n">
        <v>0.15</v>
      </c>
      <c r="I110" s="5" t="n">
        <f aca="false">F110*G110*(1-H110)</f>
        <v>1383.596</v>
      </c>
      <c r="J110" s="4" t="s">
        <v>18</v>
      </c>
      <c r="K110" s="5" t="n">
        <f aca="false">VLOOKUP(D110,Products!$A$2:$E$26,4,FALSE())</f>
        <v>126.91</v>
      </c>
      <c r="L110" s="6" t="n">
        <f aca="false">(I110-F110*K110)/I110</f>
        <v>0.266201983816085</v>
      </c>
    </row>
    <row r="111" customFormat="false" ht="15" hidden="false" customHeight="false" outlineLevel="0" collapsed="false">
      <c r="A111" s="0" t="n">
        <v>10107</v>
      </c>
      <c r="B111" s="3" t="n">
        <v>45342</v>
      </c>
      <c r="C111" s="0" t="n">
        <v>64</v>
      </c>
      <c r="D111" s="4" t="s">
        <v>41</v>
      </c>
      <c r="E111" s="4" t="s">
        <v>20</v>
      </c>
      <c r="F111" s="0" t="n">
        <v>40</v>
      </c>
      <c r="G111" s="5" t="n">
        <v>27.2</v>
      </c>
      <c r="H111" s="6" t="n">
        <v>0.05</v>
      </c>
      <c r="I111" s="5" t="n">
        <f aca="false">F111*G111*(1-H111)</f>
        <v>1033.6</v>
      </c>
      <c r="J111" s="4" t="s">
        <v>15</v>
      </c>
      <c r="K111" s="5" t="n">
        <f aca="false">VLOOKUP(D111,Products!$A$2:$E$26,4,FALSE())</f>
        <v>12.46</v>
      </c>
      <c r="L111" s="6" t="n">
        <f aca="false">(I111-F111*K111)/I111</f>
        <v>0.517801857585139</v>
      </c>
    </row>
    <row r="112" customFormat="false" ht="15" hidden="false" customHeight="false" outlineLevel="0" collapsed="false">
      <c r="A112" s="0" t="n">
        <v>10108</v>
      </c>
      <c r="B112" s="3" t="n">
        <v>45432</v>
      </c>
      <c r="C112" s="0" t="n">
        <v>20</v>
      </c>
      <c r="D112" s="4" t="s">
        <v>31</v>
      </c>
      <c r="E112" s="4" t="s">
        <v>24</v>
      </c>
      <c r="F112" s="0" t="n">
        <v>20</v>
      </c>
      <c r="G112" s="5" t="n">
        <v>44.18</v>
      </c>
      <c r="H112" s="6" t="n">
        <v>0</v>
      </c>
      <c r="I112" s="5" t="n">
        <f aca="false">F112*G112*(1-H112)</f>
        <v>883.6</v>
      </c>
      <c r="J112" s="4" t="s">
        <v>15</v>
      </c>
      <c r="K112" s="5" t="n">
        <f aca="false">VLOOKUP(D112,Products!$A$2:$E$26,4,FALSE())</f>
        <v>23.25</v>
      </c>
      <c r="L112" s="6" t="n">
        <f aca="false">(I112-F112*K112)/I112</f>
        <v>0.473743775464011</v>
      </c>
    </row>
    <row r="113" customFormat="false" ht="15" hidden="false" customHeight="false" outlineLevel="0" collapsed="false">
      <c r="A113" s="0" t="n">
        <v>10109</v>
      </c>
      <c r="B113" s="3" t="n">
        <v>45396</v>
      </c>
      <c r="C113" s="0" t="n">
        <v>33</v>
      </c>
      <c r="D113" s="4" t="s">
        <v>45</v>
      </c>
      <c r="E113" s="4" t="s">
        <v>14</v>
      </c>
      <c r="F113" s="0" t="n">
        <v>6</v>
      </c>
      <c r="G113" s="5" t="n">
        <v>98.32</v>
      </c>
      <c r="H113" s="6" t="n">
        <v>0.1</v>
      </c>
      <c r="I113" s="5" t="n">
        <f aca="false">F113*G113*(1-H113)</f>
        <v>530.928</v>
      </c>
      <c r="J113" s="4" t="s">
        <v>15</v>
      </c>
      <c r="K113" s="5" t="n">
        <f aca="false">VLOOKUP(D113,Products!$A$2:$E$26,4,FALSE())</f>
        <v>41.2</v>
      </c>
      <c r="L113" s="6" t="n">
        <f aca="false">(I113-F113*K113)/I113</f>
        <v>0.534400144652382</v>
      </c>
    </row>
    <row r="114" customFormat="false" ht="15" hidden="false" customHeight="false" outlineLevel="0" collapsed="false">
      <c r="A114" s="0" t="n">
        <v>10110</v>
      </c>
      <c r="B114" s="3" t="n">
        <v>45442</v>
      </c>
      <c r="C114" s="0" t="n">
        <v>14</v>
      </c>
      <c r="D114" s="4" t="s">
        <v>41</v>
      </c>
      <c r="E114" s="4" t="s">
        <v>21</v>
      </c>
      <c r="F114" s="0" t="n">
        <v>30</v>
      </c>
      <c r="G114" s="5" t="n">
        <v>26.84</v>
      </c>
      <c r="H114" s="6" t="n">
        <v>0</v>
      </c>
      <c r="I114" s="5" t="n">
        <f aca="false">F114*G114*(1-H114)</f>
        <v>805.2</v>
      </c>
      <c r="J114" s="4" t="s">
        <v>15</v>
      </c>
      <c r="K114" s="5" t="n">
        <f aca="false">VLOOKUP(D114,Products!$A$2:$E$26,4,FALSE())</f>
        <v>12.46</v>
      </c>
      <c r="L114" s="6" t="n">
        <f aca="false">(I114-F114*K114)/I114</f>
        <v>0.535767511177347</v>
      </c>
    </row>
    <row r="115" customFormat="false" ht="15" hidden="false" customHeight="false" outlineLevel="0" collapsed="false">
      <c r="A115" s="0" t="n">
        <v>10111</v>
      </c>
      <c r="B115" s="3" t="n">
        <v>45609</v>
      </c>
      <c r="C115" s="0" t="n">
        <v>51</v>
      </c>
      <c r="D115" s="4" t="s">
        <v>34</v>
      </c>
      <c r="E115" s="4" t="s">
        <v>24</v>
      </c>
      <c r="F115" s="0" t="n">
        <v>3</v>
      </c>
      <c r="G115" s="5" t="n">
        <v>22.78</v>
      </c>
      <c r="H115" s="6" t="n">
        <v>0.05</v>
      </c>
      <c r="I115" s="5" t="n">
        <f aca="false">F115*G115*(1-H115)</f>
        <v>64.923</v>
      </c>
      <c r="J115" s="4" t="s">
        <v>28</v>
      </c>
      <c r="K115" s="5" t="n">
        <f aca="false">VLOOKUP(D115,Products!$A$2:$E$26,4,FALSE())</f>
        <v>14.34</v>
      </c>
      <c r="L115" s="6" t="n">
        <f aca="false">(I115-F115*K115)/I115</f>
        <v>0.337368883138487</v>
      </c>
    </row>
    <row r="116" customFormat="false" ht="15" hidden="false" customHeight="false" outlineLevel="0" collapsed="false">
      <c r="A116" s="0" t="n">
        <v>10112</v>
      </c>
      <c r="B116" s="3" t="n">
        <v>45558</v>
      </c>
      <c r="C116" s="0" t="n">
        <v>45</v>
      </c>
      <c r="D116" s="4" t="s">
        <v>45</v>
      </c>
      <c r="E116" s="4" t="s">
        <v>21</v>
      </c>
      <c r="F116" s="0" t="n">
        <v>28</v>
      </c>
      <c r="G116" s="5" t="n">
        <v>95.08</v>
      </c>
      <c r="H116" s="6" t="n">
        <v>0.1</v>
      </c>
      <c r="I116" s="5" t="n">
        <f aca="false">F116*G116*(1-H116)</f>
        <v>2396.016</v>
      </c>
      <c r="J116" s="4" t="s">
        <v>18</v>
      </c>
      <c r="K116" s="5" t="n">
        <f aca="false">VLOOKUP(D116,Products!$A$2:$E$26,4,FALSE())</f>
        <v>41.2</v>
      </c>
      <c r="L116" s="6" t="n">
        <f aca="false">(I116-F116*K116)/I116</f>
        <v>0.518534099939232</v>
      </c>
    </row>
    <row r="117" customFormat="false" ht="15" hidden="false" customHeight="false" outlineLevel="0" collapsed="false">
      <c r="A117" s="0" t="n">
        <v>10113</v>
      </c>
      <c r="B117" s="3" t="n">
        <v>45645</v>
      </c>
      <c r="C117" s="0" t="n">
        <v>3</v>
      </c>
      <c r="D117" s="4" t="s">
        <v>26</v>
      </c>
      <c r="E117" s="4" t="s">
        <v>21</v>
      </c>
      <c r="F117" s="0" t="n">
        <v>35</v>
      </c>
      <c r="G117" s="5" t="n">
        <v>55.12</v>
      </c>
      <c r="H117" s="6" t="n">
        <v>0.05</v>
      </c>
      <c r="I117" s="5" t="n">
        <f aca="false">F117*G117*(1-H117)</f>
        <v>1832.74</v>
      </c>
      <c r="J117" s="4" t="s">
        <v>18</v>
      </c>
      <c r="K117" s="5" t="n">
        <f aca="false">VLOOKUP(D117,Products!$A$2:$E$26,4,FALSE())</f>
        <v>22.68</v>
      </c>
      <c r="L117" s="6" t="n">
        <f aca="false">(I117-F117*K117)/I117</f>
        <v>0.566878007791613</v>
      </c>
    </row>
    <row r="118" customFormat="false" ht="15" hidden="false" customHeight="false" outlineLevel="0" collapsed="false">
      <c r="A118" s="0" t="n">
        <v>10114</v>
      </c>
      <c r="B118" s="3" t="n">
        <v>45366</v>
      </c>
      <c r="C118" s="0" t="n">
        <v>62</v>
      </c>
      <c r="D118" s="4" t="s">
        <v>26</v>
      </c>
      <c r="E118" s="4" t="s">
        <v>14</v>
      </c>
      <c r="F118" s="0" t="n">
        <v>30</v>
      </c>
      <c r="G118" s="5" t="n">
        <v>51.89</v>
      </c>
      <c r="H118" s="6" t="n">
        <v>0.1</v>
      </c>
      <c r="I118" s="5" t="n">
        <f aca="false">F118*G118*(1-H118)</f>
        <v>1401.03</v>
      </c>
      <c r="J118" s="4" t="s">
        <v>15</v>
      </c>
      <c r="K118" s="5" t="n">
        <f aca="false">VLOOKUP(D118,Products!$A$2:$E$26,4,FALSE())</f>
        <v>22.68</v>
      </c>
      <c r="L118" s="6" t="n">
        <f aca="false">(I118-F118*K118)/I118</f>
        <v>0.514357294276354</v>
      </c>
    </row>
    <row r="119" customFormat="false" ht="15" hidden="false" customHeight="false" outlineLevel="0" collapsed="false">
      <c r="A119" s="0" t="n">
        <v>10115</v>
      </c>
      <c r="B119" s="3" t="n">
        <v>45507</v>
      </c>
      <c r="C119" s="0" t="n">
        <v>6</v>
      </c>
      <c r="D119" s="4" t="s">
        <v>46</v>
      </c>
      <c r="E119" s="4" t="s">
        <v>20</v>
      </c>
      <c r="F119" s="0" t="n">
        <v>14</v>
      </c>
      <c r="G119" s="5" t="n">
        <v>315.8</v>
      </c>
      <c r="H119" s="6" t="n">
        <v>0.1</v>
      </c>
      <c r="I119" s="5" t="n">
        <f aca="false">F119*G119*(1-H119)</f>
        <v>3979.08</v>
      </c>
      <c r="J119" s="4" t="s">
        <v>15</v>
      </c>
      <c r="K119" s="5" t="n">
        <f aca="false">VLOOKUP(D119,Products!$A$2:$E$26,4,FALSE())</f>
        <v>219.79</v>
      </c>
      <c r="L119" s="6" t="n">
        <f aca="false">(I119-F119*K119)/I119</f>
        <v>0.226690591795088</v>
      </c>
    </row>
    <row r="120" customFormat="false" ht="15" hidden="false" customHeight="false" outlineLevel="0" collapsed="false">
      <c r="A120" s="0" t="n">
        <v>10116</v>
      </c>
      <c r="B120" s="3" t="n">
        <v>45492</v>
      </c>
      <c r="C120" s="0" t="n">
        <v>1</v>
      </c>
      <c r="D120" s="4" t="s">
        <v>36</v>
      </c>
      <c r="E120" s="4" t="s">
        <v>20</v>
      </c>
      <c r="F120" s="0" t="n">
        <v>1</v>
      </c>
      <c r="G120" s="5" t="n">
        <v>50.63</v>
      </c>
      <c r="H120" s="6" t="n">
        <v>0.15</v>
      </c>
      <c r="I120" s="5" t="n">
        <f aca="false">F120*G120*(1-H120)</f>
        <v>43.0355</v>
      </c>
      <c r="J120" s="4" t="s">
        <v>15</v>
      </c>
      <c r="K120" s="5" t="n">
        <f aca="false">VLOOKUP(D120,Products!$A$2:$E$26,4,FALSE())</f>
        <v>23.74</v>
      </c>
      <c r="L120" s="6" t="n">
        <f aca="false">(I120-F120*K120)/I120</f>
        <v>0.448362398484972</v>
      </c>
    </row>
    <row r="121" customFormat="false" ht="15" hidden="false" customHeight="false" outlineLevel="0" collapsed="false">
      <c r="A121" s="0" t="n">
        <v>10117</v>
      </c>
      <c r="B121" s="3" t="n">
        <v>45390</v>
      </c>
      <c r="C121" s="0" t="n">
        <v>20</v>
      </c>
      <c r="D121" s="4" t="s">
        <v>38</v>
      </c>
      <c r="E121" s="4" t="s">
        <v>24</v>
      </c>
      <c r="F121" s="0" t="n">
        <v>16</v>
      </c>
      <c r="G121" s="5" t="n">
        <v>176.62</v>
      </c>
      <c r="H121" s="6" t="n">
        <v>0.1</v>
      </c>
      <c r="I121" s="5" t="n">
        <f aca="false">F121*G121*(1-H121)</f>
        <v>2543.328</v>
      </c>
      <c r="J121" s="4" t="s">
        <v>18</v>
      </c>
      <c r="K121" s="5" t="n">
        <f aca="false">VLOOKUP(D121,Products!$A$2:$E$26,4,FALSE())</f>
        <v>107.25</v>
      </c>
      <c r="L121" s="6" t="n">
        <f aca="false">(I121-F121*K121)/I121</f>
        <v>0.325293473747782</v>
      </c>
    </row>
    <row r="122" customFormat="false" ht="15" hidden="false" customHeight="false" outlineLevel="0" collapsed="false">
      <c r="A122" s="0" t="n">
        <v>10118</v>
      </c>
      <c r="B122" s="3" t="n">
        <v>45317</v>
      </c>
      <c r="C122" s="0" t="n">
        <v>19</v>
      </c>
      <c r="D122" s="4" t="s">
        <v>37</v>
      </c>
      <c r="E122" s="4" t="s">
        <v>21</v>
      </c>
      <c r="F122" s="0" t="n">
        <v>40</v>
      </c>
      <c r="G122" s="5" t="n">
        <v>8</v>
      </c>
      <c r="H122" s="6" t="n">
        <v>0</v>
      </c>
      <c r="I122" s="5" t="n">
        <f aca="false">F122*G122*(1-H122)</f>
        <v>320</v>
      </c>
      <c r="J122" s="4" t="s">
        <v>18</v>
      </c>
      <c r="K122" s="5" t="n">
        <f aca="false">VLOOKUP(D122,Products!$A$2:$E$26,4,FALSE())</f>
        <v>3.88</v>
      </c>
      <c r="L122" s="6" t="n">
        <f aca="false">(I122-F122*K122)/I122</f>
        <v>0.515</v>
      </c>
    </row>
    <row r="123" customFormat="false" ht="15" hidden="false" customHeight="false" outlineLevel="0" collapsed="false">
      <c r="A123" s="0" t="n">
        <v>10119</v>
      </c>
      <c r="B123" s="3" t="n">
        <v>45433</v>
      </c>
      <c r="C123" s="0" t="n">
        <v>40</v>
      </c>
      <c r="D123" s="4" t="s">
        <v>25</v>
      </c>
      <c r="E123" s="4" t="s">
        <v>14</v>
      </c>
      <c r="F123" s="0" t="n">
        <v>7</v>
      </c>
      <c r="G123" s="5" t="n">
        <v>223.73</v>
      </c>
      <c r="H123" s="6" t="n">
        <v>0.15</v>
      </c>
      <c r="I123" s="5" t="n">
        <f aca="false">F123*G123*(1-H123)</f>
        <v>1331.1935</v>
      </c>
      <c r="J123" s="4" t="s">
        <v>15</v>
      </c>
      <c r="K123" s="5" t="n">
        <f aca="false">VLOOKUP(D123,Products!$A$2:$E$26,4,FALSE())</f>
        <v>128.85</v>
      </c>
      <c r="L123" s="6" t="n">
        <f aca="false">(I123-F123*K123)/I123</f>
        <v>0.322450117131732</v>
      </c>
    </row>
    <row r="124" customFormat="false" ht="15" hidden="false" customHeight="false" outlineLevel="0" collapsed="false">
      <c r="A124" s="0" t="n">
        <v>10120</v>
      </c>
      <c r="B124" s="3" t="n">
        <v>45394</v>
      </c>
      <c r="C124" s="0" t="n">
        <v>31</v>
      </c>
      <c r="D124" s="4" t="s">
        <v>30</v>
      </c>
      <c r="E124" s="4" t="s">
        <v>20</v>
      </c>
      <c r="F124" s="0" t="n">
        <v>31</v>
      </c>
      <c r="G124" s="5" t="n">
        <v>219.99</v>
      </c>
      <c r="H124" s="6" t="n">
        <v>0.05</v>
      </c>
      <c r="I124" s="5" t="n">
        <f aca="false">F124*G124*(1-H124)</f>
        <v>6478.7055</v>
      </c>
      <c r="J124" s="4" t="s">
        <v>18</v>
      </c>
      <c r="K124" s="5" t="n">
        <f aca="false">VLOOKUP(D124,Products!$A$2:$E$26,4,FALSE())</f>
        <v>97.8</v>
      </c>
      <c r="L124" s="6" t="n">
        <f aca="false">(I124-F124*K124)/I124</f>
        <v>0.532036145183633</v>
      </c>
    </row>
    <row r="125" customFormat="false" ht="15" hidden="false" customHeight="false" outlineLevel="0" collapsed="false">
      <c r="A125" s="0" t="n">
        <v>10121</v>
      </c>
      <c r="B125" s="3" t="n">
        <v>45580</v>
      </c>
      <c r="C125" s="0" t="n">
        <v>74</v>
      </c>
      <c r="D125" s="4" t="s">
        <v>46</v>
      </c>
      <c r="E125" s="4" t="s">
        <v>24</v>
      </c>
      <c r="F125" s="0" t="n">
        <v>4</v>
      </c>
      <c r="G125" s="5" t="n">
        <v>300.7</v>
      </c>
      <c r="H125" s="6" t="n">
        <v>0</v>
      </c>
      <c r="I125" s="5" t="n">
        <f aca="false">F125*G125*(1-H125)</f>
        <v>1202.8</v>
      </c>
      <c r="J125" s="4" t="s">
        <v>15</v>
      </c>
      <c r="K125" s="5" t="n">
        <f aca="false">VLOOKUP(D125,Products!$A$2:$E$26,4,FALSE())</f>
        <v>219.79</v>
      </c>
      <c r="L125" s="6" t="n">
        <f aca="false">(I125-F125*K125)/I125</f>
        <v>0.269072164948454</v>
      </c>
    </row>
    <row r="126" customFormat="false" ht="15" hidden="false" customHeight="false" outlineLevel="0" collapsed="false">
      <c r="A126" s="0" t="n">
        <v>10122</v>
      </c>
      <c r="B126" s="3" t="n">
        <v>45344</v>
      </c>
      <c r="C126" s="0" t="n">
        <v>78</v>
      </c>
      <c r="D126" s="4" t="s">
        <v>37</v>
      </c>
      <c r="E126" s="4" t="s">
        <v>14</v>
      </c>
      <c r="F126" s="0" t="n">
        <v>36</v>
      </c>
      <c r="G126" s="5" t="n">
        <v>8.14</v>
      </c>
      <c r="H126" s="6" t="n">
        <v>0</v>
      </c>
      <c r="I126" s="5" t="n">
        <f aca="false">F126*G126*(1-H126)</f>
        <v>293.04</v>
      </c>
      <c r="J126" s="4" t="s">
        <v>18</v>
      </c>
      <c r="K126" s="5" t="n">
        <f aca="false">VLOOKUP(D126,Products!$A$2:$E$26,4,FALSE())</f>
        <v>3.88</v>
      </c>
      <c r="L126" s="6" t="n">
        <f aca="false">(I126-F126*K126)/I126</f>
        <v>0.523341523341523</v>
      </c>
    </row>
    <row r="127" customFormat="false" ht="15" hidden="false" customHeight="false" outlineLevel="0" collapsed="false">
      <c r="A127" s="0" t="n">
        <v>10123</v>
      </c>
      <c r="B127" s="3" t="n">
        <v>45439</v>
      </c>
      <c r="C127" s="0" t="n">
        <v>14</v>
      </c>
      <c r="D127" s="4" t="s">
        <v>33</v>
      </c>
      <c r="E127" s="4" t="s">
        <v>21</v>
      </c>
      <c r="F127" s="0" t="n">
        <v>38</v>
      </c>
      <c r="G127" s="5" t="n">
        <v>42.77</v>
      </c>
      <c r="H127" s="6" t="n">
        <v>0</v>
      </c>
      <c r="I127" s="5" t="n">
        <f aca="false">F127*G127*(1-H127)</f>
        <v>1625.26</v>
      </c>
      <c r="J127" s="4" t="s">
        <v>15</v>
      </c>
      <c r="K127" s="5" t="n">
        <f aca="false">VLOOKUP(D127,Products!$A$2:$E$26,4,FALSE())</f>
        <v>28.4</v>
      </c>
      <c r="L127" s="6" t="n">
        <f aca="false">(I127-F127*K127)/I127</f>
        <v>0.3359831657704</v>
      </c>
    </row>
    <row r="128" customFormat="false" ht="15" hidden="false" customHeight="false" outlineLevel="0" collapsed="false">
      <c r="A128" s="0" t="n">
        <v>10124</v>
      </c>
      <c r="B128" s="3" t="n">
        <v>45533</v>
      </c>
      <c r="C128" s="0" t="n">
        <v>42</v>
      </c>
      <c r="D128" s="4" t="s">
        <v>17</v>
      </c>
      <c r="E128" s="4" t="s">
        <v>21</v>
      </c>
      <c r="F128" s="0" t="n">
        <v>35</v>
      </c>
      <c r="G128" s="5" t="n">
        <v>84.51</v>
      </c>
      <c r="H128" s="6" t="n">
        <v>0</v>
      </c>
      <c r="I128" s="5" t="n">
        <f aca="false">F128*G128*(1-H128)</f>
        <v>2957.85</v>
      </c>
      <c r="J128" s="4" t="s">
        <v>15</v>
      </c>
      <c r="K128" s="5" t="n">
        <f aca="false">VLOOKUP(D128,Products!$A$2:$E$26,4,FALSE())</f>
        <v>38.24</v>
      </c>
      <c r="L128" s="6" t="n">
        <f aca="false">(I128-F128*K128)/I128</f>
        <v>0.547509170512366</v>
      </c>
    </row>
    <row r="129" customFormat="false" ht="15" hidden="false" customHeight="false" outlineLevel="0" collapsed="false">
      <c r="A129" s="0" t="n">
        <v>10125</v>
      </c>
      <c r="B129" s="3" t="n">
        <v>45422</v>
      </c>
      <c r="C129" s="0" t="n">
        <v>49</v>
      </c>
      <c r="D129" s="4" t="s">
        <v>33</v>
      </c>
      <c r="E129" s="4" t="s">
        <v>14</v>
      </c>
      <c r="F129" s="0" t="n">
        <v>2</v>
      </c>
      <c r="G129" s="5" t="n">
        <v>44.06</v>
      </c>
      <c r="H129" s="6" t="n">
        <v>0</v>
      </c>
      <c r="I129" s="5" t="n">
        <f aca="false">F129*G129*(1-H129)</f>
        <v>88.12</v>
      </c>
      <c r="J129" s="4" t="s">
        <v>15</v>
      </c>
      <c r="K129" s="5" t="n">
        <f aca="false">VLOOKUP(D129,Products!$A$2:$E$26,4,FALSE())</f>
        <v>28.4</v>
      </c>
      <c r="L129" s="6" t="n">
        <f aca="false">(I129-F129*K129)/I129</f>
        <v>0.355424421243759</v>
      </c>
    </row>
    <row r="130" customFormat="false" ht="15" hidden="false" customHeight="false" outlineLevel="0" collapsed="false">
      <c r="A130" s="0" t="n">
        <v>10126</v>
      </c>
      <c r="B130" s="3" t="n">
        <v>45572</v>
      </c>
      <c r="C130" s="0" t="n">
        <v>35</v>
      </c>
      <c r="D130" s="4" t="s">
        <v>38</v>
      </c>
      <c r="E130" s="4" t="s">
        <v>24</v>
      </c>
      <c r="F130" s="0" t="n">
        <v>15</v>
      </c>
      <c r="G130" s="5" t="n">
        <v>168.73</v>
      </c>
      <c r="H130" s="6" t="n">
        <v>0</v>
      </c>
      <c r="I130" s="5" t="n">
        <f aca="false">F130*G130*(1-H130)</f>
        <v>2530.95</v>
      </c>
      <c r="J130" s="4" t="s">
        <v>15</v>
      </c>
      <c r="K130" s="5" t="n">
        <f aca="false">VLOOKUP(D130,Products!$A$2:$E$26,4,FALSE())</f>
        <v>107.25</v>
      </c>
      <c r="L130" s="6" t="n">
        <f aca="false">(I130-F130*K130)/I130</f>
        <v>0.364369110413086</v>
      </c>
    </row>
    <row r="131" customFormat="false" ht="15" hidden="false" customHeight="false" outlineLevel="0" collapsed="false">
      <c r="A131" s="0" t="n">
        <v>10127</v>
      </c>
      <c r="B131" s="3" t="n">
        <v>45657</v>
      </c>
      <c r="C131" s="0" t="n">
        <v>13</v>
      </c>
      <c r="D131" s="4" t="s">
        <v>34</v>
      </c>
      <c r="E131" s="4" t="s">
        <v>21</v>
      </c>
      <c r="F131" s="0" t="n">
        <v>12</v>
      </c>
      <c r="G131" s="5" t="n">
        <v>21.52</v>
      </c>
      <c r="H131" s="6" t="n">
        <v>0</v>
      </c>
      <c r="I131" s="5" t="n">
        <f aca="false">F131*G131*(1-H131)</f>
        <v>258.24</v>
      </c>
      <c r="J131" s="4" t="s">
        <v>15</v>
      </c>
      <c r="K131" s="5" t="n">
        <f aca="false">VLOOKUP(D131,Products!$A$2:$E$26,4,FALSE())</f>
        <v>14.34</v>
      </c>
      <c r="L131" s="6" t="n">
        <f aca="false">(I131-F131*K131)/I131</f>
        <v>0.33364312267658</v>
      </c>
    </row>
    <row r="132" customFormat="false" ht="15" hidden="false" customHeight="false" outlineLevel="0" collapsed="false">
      <c r="A132" s="0" t="n">
        <v>10128</v>
      </c>
      <c r="B132" s="3" t="n">
        <v>45439</v>
      </c>
      <c r="C132" s="0" t="n">
        <v>77</v>
      </c>
      <c r="D132" s="4" t="s">
        <v>17</v>
      </c>
      <c r="E132" s="4" t="s">
        <v>14</v>
      </c>
      <c r="F132" s="0" t="n">
        <v>12</v>
      </c>
      <c r="G132" s="5" t="n">
        <v>88.23</v>
      </c>
      <c r="H132" s="6" t="n">
        <v>0.15</v>
      </c>
      <c r="I132" s="5" t="n">
        <f aca="false">F132*G132*(1-H132)</f>
        <v>899.946</v>
      </c>
      <c r="J132" s="4" t="s">
        <v>15</v>
      </c>
      <c r="K132" s="5" t="n">
        <f aca="false">VLOOKUP(D132,Products!$A$2:$E$26,4,FALSE())</f>
        <v>38.24</v>
      </c>
      <c r="L132" s="6" t="n">
        <f aca="false">(I132-F132*K132)/I132</f>
        <v>0.490102739497703</v>
      </c>
    </row>
    <row r="133" customFormat="false" ht="15" hidden="false" customHeight="false" outlineLevel="0" collapsed="false">
      <c r="A133" s="0" t="n">
        <v>10129</v>
      </c>
      <c r="B133" s="3" t="n">
        <v>45331</v>
      </c>
      <c r="C133" s="0" t="n">
        <v>35</v>
      </c>
      <c r="D133" s="4" t="s">
        <v>33</v>
      </c>
      <c r="E133" s="4" t="s">
        <v>14</v>
      </c>
      <c r="F133" s="0" t="n">
        <v>23</v>
      </c>
      <c r="G133" s="5" t="n">
        <v>45.48</v>
      </c>
      <c r="H133" s="6" t="n">
        <v>0</v>
      </c>
      <c r="I133" s="5" t="n">
        <f aca="false">F133*G133*(1-H133)</f>
        <v>1046.04</v>
      </c>
      <c r="J133" s="4" t="s">
        <v>15</v>
      </c>
      <c r="K133" s="5" t="n">
        <f aca="false">VLOOKUP(D133,Products!$A$2:$E$26,4,FALSE())</f>
        <v>28.4</v>
      </c>
      <c r="L133" s="6" t="n">
        <f aca="false">(I133-F133*K133)/I133</f>
        <v>0.375549692172384</v>
      </c>
    </row>
    <row r="134" customFormat="false" ht="15" hidden="false" customHeight="false" outlineLevel="0" collapsed="false">
      <c r="A134" s="0" t="n">
        <v>10130</v>
      </c>
      <c r="B134" s="3" t="n">
        <v>45348</v>
      </c>
      <c r="C134" s="0" t="n">
        <v>16</v>
      </c>
      <c r="D134" s="4" t="s">
        <v>33</v>
      </c>
      <c r="E134" s="4" t="s">
        <v>24</v>
      </c>
      <c r="F134" s="0" t="n">
        <v>28</v>
      </c>
      <c r="G134" s="5" t="n">
        <v>43.99</v>
      </c>
      <c r="H134" s="6" t="n">
        <v>0.1</v>
      </c>
      <c r="I134" s="5" t="n">
        <f aca="false">F134*G134*(1-H134)</f>
        <v>1108.548</v>
      </c>
      <c r="J134" s="4" t="s">
        <v>28</v>
      </c>
      <c r="K134" s="5" t="n">
        <f aca="false">VLOOKUP(D134,Products!$A$2:$E$26,4,FALSE())</f>
        <v>28.4</v>
      </c>
      <c r="L134" s="6" t="n">
        <f aca="false">(I134-F134*K134)/I134</f>
        <v>0.282665252203784</v>
      </c>
    </row>
    <row r="135" customFormat="false" ht="15" hidden="false" customHeight="false" outlineLevel="0" collapsed="false">
      <c r="A135" s="0" t="n">
        <v>10131</v>
      </c>
      <c r="B135" s="3" t="n">
        <v>45622</v>
      </c>
      <c r="C135" s="0" t="n">
        <v>69</v>
      </c>
      <c r="D135" s="4" t="s">
        <v>16</v>
      </c>
      <c r="E135" s="4" t="s">
        <v>24</v>
      </c>
      <c r="F135" s="0" t="n">
        <v>24</v>
      </c>
      <c r="G135" s="5" t="n">
        <v>151.19</v>
      </c>
      <c r="H135" s="6" t="n">
        <v>0</v>
      </c>
      <c r="I135" s="5" t="n">
        <f aca="false">F135*G135*(1-H135)</f>
        <v>3628.56</v>
      </c>
      <c r="J135" s="4" t="s">
        <v>15</v>
      </c>
      <c r="K135" s="5" t="n">
        <f aca="false">VLOOKUP(D135,Products!$A$2:$E$26,4,FALSE())</f>
        <v>72.1</v>
      </c>
      <c r="L135" s="6" t="n">
        <f aca="false">(I135-F135*K135)/I135</f>
        <v>0.523116608241286</v>
      </c>
    </row>
    <row r="136" customFormat="false" ht="15" hidden="false" customHeight="false" outlineLevel="0" collapsed="false">
      <c r="A136" s="0" t="n">
        <v>10132</v>
      </c>
      <c r="B136" s="3" t="n">
        <v>45364</v>
      </c>
      <c r="C136" s="0" t="n">
        <v>57</v>
      </c>
      <c r="D136" s="4" t="s">
        <v>19</v>
      </c>
      <c r="E136" s="4" t="s">
        <v>21</v>
      </c>
      <c r="F136" s="0" t="n">
        <v>1</v>
      </c>
      <c r="G136" s="5" t="n">
        <v>218.81</v>
      </c>
      <c r="H136" s="6" t="n">
        <v>0.1</v>
      </c>
      <c r="I136" s="5" t="n">
        <f aca="false">F136*G136*(1-H136)</f>
        <v>196.929</v>
      </c>
      <c r="J136" s="4" t="s">
        <v>15</v>
      </c>
      <c r="K136" s="5" t="n">
        <f aca="false">VLOOKUP(D136,Products!$A$2:$E$26,4,FALSE())</f>
        <v>83.93</v>
      </c>
      <c r="L136" s="6" t="n">
        <f aca="false">(I136-F136*K136)/I136</f>
        <v>0.573805787872787</v>
      </c>
    </row>
    <row r="137" customFormat="false" ht="15" hidden="false" customHeight="false" outlineLevel="0" collapsed="false">
      <c r="A137" s="0" t="n">
        <v>10133</v>
      </c>
      <c r="B137" s="3" t="n">
        <v>45365</v>
      </c>
      <c r="C137" s="0" t="n">
        <v>3</v>
      </c>
      <c r="D137" s="4" t="s">
        <v>16</v>
      </c>
      <c r="E137" s="4" t="s">
        <v>24</v>
      </c>
      <c r="F137" s="0" t="n">
        <v>4</v>
      </c>
      <c r="G137" s="5" t="n">
        <v>137.54</v>
      </c>
      <c r="H137" s="6" t="n">
        <v>0.05</v>
      </c>
      <c r="I137" s="5" t="n">
        <f aca="false">F137*G137*(1-H137)</f>
        <v>522.652</v>
      </c>
      <c r="J137" s="4" t="s">
        <v>15</v>
      </c>
      <c r="K137" s="5" t="n">
        <f aca="false">VLOOKUP(D137,Products!$A$2:$E$26,4,FALSE())</f>
        <v>72.1</v>
      </c>
      <c r="L137" s="6" t="n">
        <f aca="false">(I137-F137*K137)/I137</f>
        <v>0.448198801496981</v>
      </c>
    </row>
    <row r="138" customFormat="false" ht="15" hidden="false" customHeight="false" outlineLevel="0" collapsed="false">
      <c r="A138" s="0" t="n">
        <v>10134</v>
      </c>
      <c r="B138" s="3" t="n">
        <v>45607</v>
      </c>
      <c r="C138" s="0" t="n">
        <v>22</v>
      </c>
      <c r="D138" s="4" t="s">
        <v>33</v>
      </c>
      <c r="E138" s="4" t="s">
        <v>24</v>
      </c>
      <c r="F138" s="0" t="n">
        <v>24</v>
      </c>
      <c r="G138" s="5" t="n">
        <v>42.13</v>
      </c>
      <c r="H138" s="6" t="n">
        <v>0</v>
      </c>
      <c r="I138" s="5" t="n">
        <f aca="false">F138*G138*(1-H138)</f>
        <v>1011.12</v>
      </c>
      <c r="J138" s="4" t="s">
        <v>18</v>
      </c>
      <c r="K138" s="5" t="n">
        <f aca="false">VLOOKUP(D138,Products!$A$2:$E$26,4,FALSE())</f>
        <v>28.4</v>
      </c>
      <c r="L138" s="6" t="n">
        <f aca="false">(I138-F138*K138)/I138</f>
        <v>0.325896036078804</v>
      </c>
    </row>
    <row r="139" customFormat="false" ht="15" hidden="false" customHeight="false" outlineLevel="0" collapsed="false">
      <c r="A139" s="0" t="n">
        <v>10135</v>
      </c>
      <c r="B139" s="3" t="n">
        <v>45321</v>
      </c>
      <c r="C139" s="0" t="n">
        <v>22</v>
      </c>
      <c r="D139" s="4" t="s">
        <v>26</v>
      </c>
      <c r="E139" s="4" t="s">
        <v>14</v>
      </c>
      <c r="F139" s="0" t="n">
        <v>36</v>
      </c>
      <c r="G139" s="5" t="n">
        <v>54.45</v>
      </c>
      <c r="H139" s="6" t="n">
        <v>0</v>
      </c>
      <c r="I139" s="5" t="n">
        <f aca="false">F139*G139*(1-H139)</f>
        <v>1960.2</v>
      </c>
      <c r="J139" s="4" t="s">
        <v>15</v>
      </c>
      <c r="K139" s="5" t="n">
        <f aca="false">VLOOKUP(D139,Products!$A$2:$E$26,4,FALSE())</f>
        <v>22.68</v>
      </c>
      <c r="L139" s="6" t="n">
        <f aca="false">(I139-F139*K139)/I139</f>
        <v>0.583471074380165</v>
      </c>
    </row>
    <row r="140" customFormat="false" ht="15" hidden="false" customHeight="false" outlineLevel="0" collapsed="false">
      <c r="A140" s="0" t="n">
        <v>10136</v>
      </c>
      <c r="B140" s="3" t="n">
        <v>45332</v>
      </c>
      <c r="C140" s="0" t="n">
        <v>59</v>
      </c>
      <c r="D140" s="4" t="s">
        <v>38</v>
      </c>
      <c r="E140" s="4" t="s">
        <v>24</v>
      </c>
      <c r="F140" s="0" t="n">
        <v>18</v>
      </c>
      <c r="G140" s="5" t="n">
        <v>174.93</v>
      </c>
      <c r="H140" s="6" t="n">
        <v>0.05</v>
      </c>
      <c r="I140" s="5" t="n">
        <f aca="false">F140*G140*(1-H140)</f>
        <v>2991.303</v>
      </c>
      <c r="J140" s="4" t="s">
        <v>18</v>
      </c>
      <c r="K140" s="5" t="n">
        <f aca="false">VLOOKUP(D140,Products!$A$2:$E$26,4,FALSE())</f>
        <v>107.25</v>
      </c>
      <c r="L140" s="6" t="n">
        <f aca="false">(I140-F140*K140)/I140</f>
        <v>0.354629069672982</v>
      </c>
    </row>
    <row r="141" customFormat="false" ht="15" hidden="false" customHeight="false" outlineLevel="0" collapsed="false">
      <c r="A141" s="0" t="n">
        <v>10137</v>
      </c>
      <c r="B141" s="3" t="n">
        <v>45471</v>
      </c>
      <c r="C141" s="0" t="n">
        <v>69</v>
      </c>
      <c r="D141" s="4" t="s">
        <v>16</v>
      </c>
      <c r="E141" s="4" t="s">
        <v>21</v>
      </c>
      <c r="F141" s="0" t="n">
        <v>29</v>
      </c>
      <c r="G141" s="5" t="n">
        <v>142.61</v>
      </c>
      <c r="H141" s="6" t="n">
        <v>0</v>
      </c>
      <c r="I141" s="5" t="n">
        <f aca="false">F141*G141*(1-H141)</f>
        <v>4135.69</v>
      </c>
      <c r="J141" s="4" t="s">
        <v>15</v>
      </c>
      <c r="K141" s="5" t="n">
        <f aca="false">VLOOKUP(D141,Products!$A$2:$E$26,4,FALSE())</f>
        <v>72.1</v>
      </c>
      <c r="L141" s="6" t="n">
        <f aca="false">(I141-F141*K141)/I141</f>
        <v>0.494425355865648</v>
      </c>
    </row>
    <row r="142" customFormat="false" ht="15" hidden="false" customHeight="false" outlineLevel="0" collapsed="false">
      <c r="A142" s="0" t="n">
        <v>10138</v>
      </c>
      <c r="B142" s="3" t="n">
        <v>45307</v>
      </c>
      <c r="C142" s="0" t="n">
        <v>76</v>
      </c>
      <c r="D142" s="4" t="s">
        <v>17</v>
      </c>
      <c r="E142" s="4" t="s">
        <v>21</v>
      </c>
      <c r="F142" s="0" t="n">
        <v>19</v>
      </c>
      <c r="G142" s="5" t="n">
        <v>88.24</v>
      </c>
      <c r="H142" s="6" t="n">
        <v>0.1</v>
      </c>
      <c r="I142" s="5" t="n">
        <f aca="false">F142*G142*(1-H142)</f>
        <v>1508.904</v>
      </c>
      <c r="J142" s="4" t="s">
        <v>28</v>
      </c>
      <c r="K142" s="5" t="n">
        <f aca="false">VLOOKUP(D142,Products!$A$2:$E$26,4,FALSE())</f>
        <v>38.24</v>
      </c>
      <c r="L142" s="6" t="n">
        <f aca="false">(I142-F142*K142)/I142</f>
        <v>0.518484940062456</v>
      </c>
    </row>
    <row r="143" customFormat="false" ht="15" hidden="false" customHeight="false" outlineLevel="0" collapsed="false">
      <c r="A143" s="0" t="n">
        <v>10139</v>
      </c>
      <c r="B143" s="3" t="n">
        <v>45644</v>
      </c>
      <c r="C143" s="0" t="n">
        <v>15</v>
      </c>
      <c r="D143" s="4" t="s">
        <v>19</v>
      </c>
      <c r="E143" s="4" t="s">
        <v>14</v>
      </c>
      <c r="F143" s="0" t="n">
        <v>7</v>
      </c>
      <c r="G143" s="5" t="n">
        <v>214.15</v>
      </c>
      <c r="H143" s="6" t="n">
        <v>0.15</v>
      </c>
      <c r="I143" s="5" t="n">
        <f aca="false">F143*G143*(1-H143)</f>
        <v>1274.1925</v>
      </c>
      <c r="J143" s="4" t="s">
        <v>28</v>
      </c>
      <c r="K143" s="5" t="n">
        <f aca="false">VLOOKUP(D143,Products!$A$2:$E$26,4,FALSE())</f>
        <v>83.93</v>
      </c>
      <c r="L143" s="6" t="n">
        <f aca="false">(I143-F143*K143)/I143</f>
        <v>0.538915823158589</v>
      </c>
    </row>
    <row r="144" customFormat="false" ht="15" hidden="false" customHeight="false" outlineLevel="0" collapsed="false">
      <c r="A144" s="0" t="n">
        <v>10140</v>
      </c>
      <c r="B144" s="3" t="n">
        <v>45439</v>
      </c>
      <c r="C144" s="0" t="n">
        <v>67</v>
      </c>
      <c r="D144" s="4" t="s">
        <v>23</v>
      </c>
      <c r="E144" s="4" t="s">
        <v>24</v>
      </c>
      <c r="F144" s="0" t="n">
        <v>16</v>
      </c>
      <c r="G144" s="5" t="n">
        <v>120.19</v>
      </c>
      <c r="H144" s="6" t="n">
        <v>0</v>
      </c>
      <c r="I144" s="5" t="n">
        <f aca="false">F144*G144*(1-H144)</f>
        <v>1923.04</v>
      </c>
      <c r="J144" s="4" t="s">
        <v>28</v>
      </c>
      <c r="K144" s="5" t="n">
        <f aca="false">VLOOKUP(D144,Products!$A$2:$E$26,4,FALSE())</f>
        <v>75.38</v>
      </c>
      <c r="L144" s="6" t="n">
        <f aca="false">(I144-F144*K144)/I144</f>
        <v>0.372826358266079</v>
      </c>
    </row>
    <row r="145" customFormat="false" ht="15" hidden="false" customHeight="false" outlineLevel="0" collapsed="false">
      <c r="A145" s="0" t="n">
        <v>10141</v>
      </c>
      <c r="B145" s="3" t="n">
        <v>45329</v>
      </c>
      <c r="C145" s="0" t="n">
        <v>46</v>
      </c>
      <c r="D145" s="4" t="s">
        <v>36</v>
      </c>
      <c r="E145" s="4" t="s">
        <v>14</v>
      </c>
      <c r="F145" s="0" t="n">
        <v>15</v>
      </c>
      <c r="G145" s="5" t="n">
        <v>52.5</v>
      </c>
      <c r="H145" s="6" t="n">
        <v>0.1</v>
      </c>
      <c r="I145" s="5" t="n">
        <f aca="false">F145*G145*(1-H145)</f>
        <v>708.75</v>
      </c>
      <c r="J145" s="4" t="s">
        <v>15</v>
      </c>
      <c r="K145" s="5" t="n">
        <f aca="false">VLOOKUP(D145,Products!$A$2:$E$26,4,FALSE())</f>
        <v>23.74</v>
      </c>
      <c r="L145" s="6" t="n">
        <f aca="false">(I145-F145*K145)/I145</f>
        <v>0.497566137566138</v>
      </c>
    </row>
    <row r="146" customFormat="false" ht="15" hidden="false" customHeight="false" outlineLevel="0" collapsed="false">
      <c r="A146" s="0" t="n">
        <v>10142</v>
      </c>
      <c r="B146" s="3" t="n">
        <v>45618</v>
      </c>
      <c r="C146" s="0" t="n">
        <v>73</v>
      </c>
      <c r="D146" s="4" t="s">
        <v>25</v>
      </c>
      <c r="E146" s="4" t="s">
        <v>24</v>
      </c>
      <c r="F146" s="0" t="n">
        <v>36</v>
      </c>
      <c r="G146" s="5" t="n">
        <v>207</v>
      </c>
      <c r="H146" s="6" t="n">
        <v>0</v>
      </c>
      <c r="I146" s="5" t="n">
        <f aca="false">F146*G146*(1-H146)</f>
        <v>7452</v>
      </c>
      <c r="J146" s="4" t="s">
        <v>18</v>
      </c>
      <c r="K146" s="5" t="n">
        <f aca="false">VLOOKUP(D146,Products!$A$2:$E$26,4,FALSE())</f>
        <v>128.85</v>
      </c>
      <c r="L146" s="6" t="n">
        <f aca="false">(I146-F146*K146)/I146</f>
        <v>0.377536231884058</v>
      </c>
    </row>
    <row r="147" customFormat="false" ht="15" hidden="false" customHeight="false" outlineLevel="0" collapsed="false">
      <c r="A147" s="0" t="n">
        <v>10143</v>
      </c>
      <c r="B147" s="3" t="n">
        <v>45530</v>
      </c>
      <c r="C147" s="0" t="n">
        <v>8</v>
      </c>
      <c r="D147" s="4" t="s">
        <v>43</v>
      </c>
      <c r="E147" s="4" t="s">
        <v>20</v>
      </c>
      <c r="F147" s="0" t="n">
        <v>28</v>
      </c>
      <c r="G147" s="5" t="n">
        <v>221.07</v>
      </c>
      <c r="H147" s="6" t="n">
        <v>0.15</v>
      </c>
      <c r="I147" s="5" t="n">
        <f aca="false">F147*G147*(1-H147)</f>
        <v>5261.466</v>
      </c>
      <c r="J147" s="4" t="s">
        <v>15</v>
      </c>
      <c r="K147" s="5" t="n">
        <f aca="false">VLOOKUP(D147,Products!$A$2:$E$26,4,FALSE())</f>
        <v>126.91</v>
      </c>
      <c r="L147" s="6" t="n">
        <f aca="false">(I147-F147*K147)/I147</f>
        <v>0.324621692889396</v>
      </c>
    </row>
    <row r="148" customFormat="false" ht="15" hidden="false" customHeight="false" outlineLevel="0" collapsed="false">
      <c r="A148" s="0" t="n">
        <v>10144</v>
      </c>
      <c r="B148" s="3" t="n">
        <v>45656</v>
      </c>
      <c r="C148" s="0" t="n">
        <v>25</v>
      </c>
      <c r="D148" s="4" t="s">
        <v>26</v>
      </c>
      <c r="E148" s="4" t="s">
        <v>14</v>
      </c>
      <c r="F148" s="0" t="n">
        <v>19</v>
      </c>
      <c r="G148" s="5" t="n">
        <v>53.96</v>
      </c>
      <c r="H148" s="6" t="n">
        <v>0</v>
      </c>
      <c r="I148" s="5" t="n">
        <f aca="false">F148*G148*(1-H148)</f>
        <v>1025.24</v>
      </c>
      <c r="J148" s="4" t="s">
        <v>15</v>
      </c>
      <c r="K148" s="5" t="n">
        <f aca="false">VLOOKUP(D148,Products!$A$2:$E$26,4,FALSE())</f>
        <v>22.68</v>
      </c>
      <c r="L148" s="6" t="n">
        <f aca="false">(I148-F148*K148)/I148</f>
        <v>0.579688658265382</v>
      </c>
    </row>
    <row r="149" customFormat="false" ht="15" hidden="false" customHeight="false" outlineLevel="0" collapsed="false">
      <c r="A149" s="0" t="n">
        <v>10145</v>
      </c>
      <c r="B149" s="3" t="n">
        <v>45352</v>
      </c>
      <c r="C149" s="0" t="n">
        <v>4</v>
      </c>
      <c r="D149" s="4" t="s">
        <v>44</v>
      </c>
      <c r="E149" s="4" t="s">
        <v>24</v>
      </c>
      <c r="F149" s="0" t="n">
        <v>28</v>
      </c>
      <c r="G149" s="5" t="n">
        <v>31.65</v>
      </c>
      <c r="H149" s="6" t="n">
        <v>0</v>
      </c>
      <c r="I149" s="5" t="n">
        <f aca="false">F149*G149*(1-H149)</f>
        <v>886.2</v>
      </c>
      <c r="J149" s="4" t="s">
        <v>15</v>
      </c>
      <c r="K149" s="5" t="n">
        <f aca="false">VLOOKUP(D149,Products!$A$2:$E$26,4,FALSE())</f>
        <v>18.41</v>
      </c>
      <c r="L149" s="6" t="n">
        <f aca="false">(I149-F149*K149)/I149</f>
        <v>0.418325434439178</v>
      </c>
    </row>
    <row r="150" customFormat="false" ht="15" hidden="false" customHeight="false" outlineLevel="0" collapsed="false">
      <c r="A150" s="0" t="n">
        <v>10146</v>
      </c>
      <c r="B150" s="3" t="n">
        <v>45537</v>
      </c>
      <c r="C150" s="0" t="n">
        <v>15</v>
      </c>
      <c r="D150" s="4" t="s">
        <v>42</v>
      </c>
      <c r="E150" s="4" t="s">
        <v>24</v>
      </c>
      <c r="F150" s="0" t="n">
        <v>39</v>
      </c>
      <c r="G150" s="5" t="n">
        <v>78.52</v>
      </c>
      <c r="H150" s="6" t="n">
        <v>0</v>
      </c>
      <c r="I150" s="5" t="n">
        <f aca="false">F150*G150*(1-H150)</f>
        <v>3062.28</v>
      </c>
      <c r="J150" s="4" t="s">
        <v>18</v>
      </c>
      <c r="K150" s="5" t="n">
        <f aca="false">VLOOKUP(D150,Products!$A$2:$E$26,4,FALSE())</f>
        <v>47.32</v>
      </c>
      <c r="L150" s="6" t="n">
        <f aca="false">(I150-F150*K150)/I150</f>
        <v>0.397350993377483</v>
      </c>
    </row>
    <row r="151" customFormat="false" ht="15" hidden="false" customHeight="false" outlineLevel="0" collapsed="false">
      <c r="A151" s="0" t="n">
        <v>10147</v>
      </c>
      <c r="B151" s="3" t="n">
        <v>45624</v>
      </c>
      <c r="C151" s="0" t="n">
        <v>74</v>
      </c>
      <c r="D151" s="4" t="s">
        <v>27</v>
      </c>
      <c r="E151" s="4" t="s">
        <v>24</v>
      </c>
      <c r="F151" s="0" t="n">
        <v>17</v>
      </c>
      <c r="G151" s="5" t="n">
        <v>119.36</v>
      </c>
      <c r="H151" s="6" t="n">
        <v>0</v>
      </c>
      <c r="I151" s="5" t="n">
        <f aca="false">F151*G151*(1-H151)</f>
        <v>2029.12</v>
      </c>
      <c r="J151" s="4" t="s">
        <v>15</v>
      </c>
      <c r="K151" s="5" t="n">
        <f aca="false">VLOOKUP(D151,Products!$A$2:$E$26,4,FALSE())</f>
        <v>45.07</v>
      </c>
      <c r="L151" s="6" t="n">
        <f aca="false">(I151-F151*K151)/I151</f>
        <v>0.622402815013405</v>
      </c>
    </row>
    <row r="152" customFormat="false" ht="15" hidden="false" customHeight="false" outlineLevel="0" collapsed="false">
      <c r="A152" s="0" t="n">
        <v>10148</v>
      </c>
      <c r="B152" s="3" t="n">
        <v>45507</v>
      </c>
      <c r="C152" s="0" t="n">
        <v>13</v>
      </c>
      <c r="D152" s="4" t="s">
        <v>45</v>
      </c>
      <c r="E152" s="4" t="s">
        <v>14</v>
      </c>
      <c r="F152" s="0" t="n">
        <v>11</v>
      </c>
      <c r="G152" s="5" t="n">
        <v>93.41</v>
      </c>
      <c r="H152" s="6" t="n">
        <v>0.1</v>
      </c>
      <c r="I152" s="5" t="n">
        <f aca="false">F152*G152*(1-H152)</f>
        <v>924.759</v>
      </c>
      <c r="J152" s="4" t="s">
        <v>15</v>
      </c>
      <c r="K152" s="5" t="n">
        <f aca="false">VLOOKUP(D152,Products!$A$2:$E$26,4,FALSE())</f>
        <v>41.2</v>
      </c>
      <c r="L152" s="6" t="n">
        <f aca="false">(I152-F152*K152)/I152</f>
        <v>0.509926370005591</v>
      </c>
    </row>
    <row r="153" customFormat="false" ht="15" hidden="false" customHeight="false" outlineLevel="0" collapsed="false">
      <c r="A153" s="0" t="n">
        <v>10149</v>
      </c>
      <c r="B153" s="3" t="n">
        <v>45439</v>
      </c>
      <c r="C153" s="0" t="n">
        <v>22</v>
      </c>
      <c r="D153" s="4" t="s">
        <v>34</v>
      </c>
      <c r="E153" s="4" t="s">
        <v>21</v>
      </c>
      <c r="F153" s="0" t="n">
        <v>24</v>
      </c>
      <c r="G153" s="5" t="n">
        <v>20.81</v>
      </c>
      <c r="H153" s="6" t="n">
        <v>0.05</v>
      </c>
      <c r="I153" s="5" t="n">
        <f aca="false">F153*G153*(1-H153)</f>
        <v>474.468</v>
      </c>
      <c r="J153" s="4" t="s">
        <v>28</v>
      </c>
      <c r="K153" s="5" t="n">
        <f aca="false">VLOOKUP(D153,Products!$A$2:$E$26,4,FALSE())</f>
        <v>14.34</v>
      </c>
      <c r="L153" s="6" t="n">
        <f aca="false">(I153-F153*K153)/I153</f>
        <v>0.274640228635019</v>
      </c>
    </row>
    <row r="154" customFormat="false" ht="15" hidden="false" customHeight="false" outlineLevel="0" collapsed="false">
      <c r="A154" s="0" t="n">
        <v>10150</v>
      </c>
      <c r="B154" s="3" t="n">
        <v>45419</v>
      </c>
      <c r="C154" s="0" t="n">
        <v>4</v>
      </c>
      <c r="D154" s="4" t="s">
        <v>38</v>
      </c>
      <c r="E154" s="4" t="s">
        <v>24</v>
      </c>
      <c r="F154" s="0" t="n">
        <v>38</v>
      </c>
      <c r="G154" s="5" t="n">
        <v>182.41</v>
      </c>
      <c r="H154" s="6" t="n">
        <v>0</v>
      </c>
      <c r="I154" s="5" t="n">
        <f aca="false">F154*G154*(1-H154)</f>
        <v>6931.58</v>
      </c>
      <c r="J154" s="4" t="s">
        <v>15</v>
      </c>
      <c r="K154" s="5" t="n">
        <f aca="false">VLOOKUP(D154,Products!$A$2:$E$26,4,FALSE())</f>
        <v>107.25</v>
      </c>
      <c r="L154" s="6" t="n">
        <f aca="false">(I154-F154*K154)/I154</f>
        <v>0.412038813661532</v>
      </c>
    </row>
    <row r="155" customFormat="false" ht="15" hidden="false" customHeight="false" outlineLevel="0" collapsed="false">
      <c r="A155" s="0" t="n">
        <v>10151</v>
      </c>
      <c r="B155" s="3" t="n">
        <v>45339</v>
      </c>
      <c r="C155" s="0" t="n">
        <v>59</v>
      </c>
      <c r="D155" s="4" t="s">
        <v>16</v>
      </c>
      <c r="E155" s="4" t="s">
        <v>20</v>
      </c>
      <c r="F155" s="0" t="n">
        <v>27</v>
      </c>
      <c r="G155" s="5" t="n">
        <v>148.07</v>
      </c>
      <c r="H155" s="6" t="n">
        <v>0</v>
      </c>
      <c r="I155" s="5" t="n">
        <f aca="false">F155*G155*(1-H155)</f>
        <v>3997.89</v>
      </c>
      <c r="J155" s="4" t="s">
        <v>15</v>
      </c>
      <c r="K155" s="5" t="n">
        <f aca="false">VLOOKUP(D155,Products!$A$2:$E$26,4,FALSE())</f>
        <v>72.1</v>
      </c>
      <c r="L155" s="6" t="n">
        <f aca="false">(I155-F155*K155)/I155</f>
        <v>0.513068143445668</v>
      </c>
    </row>
    <row r="156" customFormat="false" ht="15" hidden="false" customHeight="false" outlineLevel="0" collapsed="false">
      <c r="A156" s="0" t="n">
        <v>10152</v>
      </c>
      <c r="B156" s="3" t="n">
        <v>45609</v>
      </c>
      <c r="C156" s="0" t="n">
        <v>65</v>
      </c>
      <c r="D156" s="4" t="s">
        <v>30</v>
      </c>
      <c r="E156" s="4" t="s">
        <v>24</v>
      </c>
      <c r="F156" s="0" t="n">
        <v>12</v>
      </c>
      <c r="G156" s="5" t="n">
        <v>203.63</v>
      </c>
      <c r="H156" s="6" t="n">
        <v>0.1</v>
      </c>
      <c r="I156" s="5" t="n">
        <f aca="false">F156*G156*(1-H156)</f>
        <v>2199.204</v>
      </c>
      <c r="J156" s="4" t="s">
        <v>15</v>
      </c>
      <c r="K156" s="5" t="n">
        <f aca="false">VLOOKUP(D156,Products!$A$2:$E$26,4,FALSE())</f>
        <v>97.8</v>
      </c>
      <c r="L156" s="6" t="n">
        <f aca="false">(I156-F156*K156)/I156</f>
        <v>0.466352371130646</v>
      </c>
    </row>
    <row r="157" customFormat="false" ht="15" hidden="false" customHeight="false" outlineLevel="0" collapsed="false">
      <c r="A157" s="0" t="n">
        <v>10153</v>
      </c>
      <c r="B157" s="3" t="n">
        <v>45294</v>
      </c>
      <c r="C157" s="0" t="n">
        <v>21</v>
      </c>
      <c r="D157" s="4" t="s">
        <v>46</v>
      </c>
      <c r="E157" s="4" t="s">
        <v>20</v>
      </c>
      <c r="F157" s="0" t="n">
        <v>29</v>
      </c>
      <c r="G157" s="5" t="n">
        <v>311.87</v>
      </c>
      <c r="H157" s="6" t="n">
        <v>0</v>
      </c>
      <c r="I157" s="5" t="n">
        <f aca="false">F157*G157*(1-H157)</f>
        <v>9044.23</v>
      </c>
      <c r="J157" s="4" t="s">
        <v>15</v>
      </c>
      <c r="K157" s="5" t="n">
        <f aca="false">VLOOKUP(D157,Products!$A$2:$E$26,4,FALSE())</f>
        <v>219.79</v>
      </c>
      <c r="L157" s="6" t="n">
        <f aca="false">(I157-F157*K157)/I157</f>
        <v>0.295251226472569</v>
      </c>
    </row>
    <row r="158" customFormat="false" ht="15" hidden="false" customHeight="false" outlineLevel="0" collapsed="false">
      <c r="A158" s="0" t="n">
        <v>10154</v>
      </c>
      <c r="B158" s="3" t="n">
        <v>45366</v>
      </c>
      <c r="C158" s="0" t="n">
        <v>56</v>
      </c>
      <c r="D158" s="4" t="s">
        <v>43</v>
      </c>
      <c r="E158" s="4" t="s">
        <v>20</v>
      </c>
      <c r="F158" s="0" t="n">
        <v>39</v>
      </c>
      <c r="G158" s="5" t="n">
        <v>215.95</v>
      </c>
      <c r="H158" s="6" t="n">
        <v>0</v>
      </c>
      <c r="I158" s="5" t="n">
        <f aca="false">F158*G158*(1-H158)</f>
        <v>8422.05</v>
      </c>
      <c r="J158" s="4" t="s">
        <v>28</v>
      </c>
      <c r="K158" s="5" t="n">
        <f aca="false">VLOOKUP(D158,Products!$A$2:$E$26,4,FALSE())</f>
        <v>126.91</v>
      </c>
      <c r="L158" s="6" t="n">
        <f aca="false">(I158-F158*K158)/I158</f>
        <v>0.412317666126418</v>
      </c>
    </row>
    <row r="159" customFormat="false" ht="15" hidden="false" customHeight="false" outlineLevel="0" collapsed="false">
      <c r="A159" s="0" t="n">
        <v>10155</v>
      </c>
      <c r="B159" s="3" t="n">
        <v>45352</v>
      </c>
      <c r="C159" s="0" t="n">
        <v>52</v>
      </c>
      <c r="D159" s="4" t="s">
        <v>26</v>
      </c>
      <c r="E159" s="4" t="s">
        <v>24</v>
      </c>
      <c r="F159" s="0" t="n">
        <v>34</v>
      </c>
      <c r="G159" s="5" t="n">
        <v>51.32</v>
      </c>
      <c r="H159" s="6" t="n">
        <v>0</v>
      </c>
      <c r="I159" s="5" t="n">
        <f aca="false">F159*G159*(1-H159)</f>
        <v>1744.88</v>
      </c>
      <c r="J159" s="4" t="s">
        <v>28</v>
      </c>
      <c r="K159" s="5" t="n">
        <f aca="false">VLOOKUP(D159,Products!$A$2:$E$26,4,FALSE())</f>
        <v>22.68</v>
      </c>
      <c r="L159" s="6" t="n">
        <f aca="false">(I159-F159*K159)/I159</f>
        <v>0.558067030397506</v>
      </c>
    </row>
    <row r="160" customFormat="false" ht="15" hidden="false" customHeight="false" outlineLevel="0" collapsed="false">
      <c r="A160" s="0" t="n">
        <v>10156</v>
      </c>
      <c r="B160" s="3" t="n">
        <v>45555</v>
      </c>
      <c r="C160" s="0" t="n">
        <v>13</v>
      </c>
      <c r="D160" s="4" t="s">
        <v>29</v>
      </c>
      <c r="E160" s="4" t="s">
        <v>24</v>
      </c>
      <c r="F160" s="0" t="n">
        <v>10</v>
      </c>
      <c r="G160" s="5" t="n">
        <v>76.38</v>
      </c>
      <c r="H160" s="6" t="n">
        <v>0.15</v>
      </c>
      <c r="I160" s="5" t="n">
        <f aca="false">F160*G160*(1-H160)</f>
        <v>649.23</v>
      </c>
      <c r="J160" s="4" t="s">
        <v>15</v>
      </c>
      <c r="K160" s="5" t="n">
        <f aca="false">VLOOKUP(D160,Products!$A$2:$E$26,4,FALSE())</f>
        <v>38.68</v>
      </c>
      <c r="L160" s="6" t="n">
        <f aca="false">(I160-F160*K160)/I160</f>
        <v>0.404217303575004</v>
      </c>
    </row>
    <row r="161" customFormat="false" ht="15" hidden="false" customHeight="false" outlineLevel="0" collapsed="false">
      <c r="A161" s="0" t="n">
        <v>10157</v>
      </c>
      <c r="B161" s="3" t="n">
        <v>45557</v>
      </c>
      <c r="C161" s="0" t="n">
        <v>38</v>
      </c>
      <c r="D161" s="4" t="s">
        <v>30</v>
      </c>
      <c r="E161" s="4" t="s">
        <v>21</v>
      </c>
      <c r="F161" s="0" t="n">
        <v>7</v>
      </c>
      <c r="G161" s="5" t="n">
        <v>202.9</v>
      </c>
      <c r="H161" s="6" t="n">
        <v>0</v>
      </c>
      <c r="I161" s="5" t="n">
        <f aca="false">F161*G161*(1-H161)</f>
        <v>1420.3</v>
      </c>
      <c r="J161" s="4" t="s">
        <v>18</v>
      </c>
      <c r="K161" s="5" t="n">
        <f aca="false">VLOOKUP(D161,Products!$A$2:$E$26,4,FALSE())</f>
        <v>97.8</v>
      </c>
      <c r="L161" s="6" t="n">
        <f aca="false">(I161-F161*K161)/I161</f>
        <v>0.517989157220306</v>
      </c>
    </row>
    <row r="162" customFormat="false" ht="15" hidden="false" customHeight="false" outlineLevel="0" collapsed="false">
      <c r="A162" s="0" t="n">
        <v>10158</v>
      </c>
      <c r="B162" s="3" t="n">
        <v>45546</v>
      </c>
      <c r="C162" s="0" t="n">
        <v>30</v>
      </c>
      <c r="D162" s="4" t="s">
        <v>16</v>
      </c>
      <c r="E162" s="4" t="s">
        <v>24</v>
      </c>
      <c r="F162" s="0" t="n">
        <v>12</v>
      </c>
      <c r="G162" s="5" t="n">
        <v>149.64</v>
      </c>
      <c r="H162" s="6" t="n">
        <v>0.15</v>
      </c>
      <c r="I162" s="5" t="n">
        <f aca="false">F162*G162*(1-H162)</f>
        <v>1526.328</v>
      </c>
      <c r="J162" s="4" t="s">
        <v>15</v>
      </c>
      <c r="K162" s="5" t="n">
        <f aca="false">VLOOKUP(D162,Products!$A$2:$E$26,4,FALSE())</f>
        <v>72.1</v>
      </c>
      <c r="L162" s="6" t="n">
        <f aca="false">(I162-F162*K162)/I162</f>
        <v>0.433149362391308</v>
      </c>
    </row>
    <row r="163" customFormat="false" ht="15" hidden="false" customHeight="false" outlineLevel="0" collapsed="false">
      <c r="A163" s="0" t="n">
        <v>10159</v>
      </c>
      <c r="B163" s="3" t="n">
        <v>45453</v>
      </c>
      <c r="C163" s="0" t="n">
        <v>5</v>
      </c>
      <c r="D163" s="4" t="s">
        <v>38</v>
      </c>
      <c r="E163" s="4" t="s">
        <v>21</v>
      </c>
      <c r="F163" s="0" t="n">
        <v>8</v>
      </c>
      <c r="G163" s="5" t="n">
        <v>178.68</v>
      </c>
      <c r="H163" s="6" t="n">
        <v>0</v>
      </c>
      <c r="I163" s="5" t="n">
        <f aca="false">F163*G163*(1-H163)</f>
        <v>1429.44</v>
      </c>
      <c r="J163" s="4" t="s">
        <v>18</v>
      </c>
      <c r="K163" s="5" t="n">
        <f aca="false">VLOOKUP(D163,Products!$A$2:$E$26,4,FALSE())</f>
        <v>107.25</v>
      </c>
      <c r="L163" s="6" t="n">
        <f aca="false">(I163-F163*K163)/I163</f>
        <v>0.399764942914708</v>
      </c>
    </row>
    <row r="164" customFormat="false" ht="15" hidden="false" customHeight="false" outlineLevel="0" collapsed="false">
      <c r="A164" s="0" t="n">
        <v>10160</v>
      </c>
      <c r="B164" s="3" t="n">
        <v>45307</v>
      </c>
      <c r="C164" s="0" t="n">
        <v>47</v>
      </c>
      <c r="D164" s="4" t="s">
        <v>33</v>
      </c>
      <c r="E164" s="4" t="s">
        <v>24</v>
      </c>
      <c r="F164" s="0" t="n">
        <v>10</v>
      </c>
      <c r="G164" s="5" t="n">
        <v>43.12</v>
      </c>
      <c r="H164" s="6" t="n">
        <v>0</v>
      </c>
      <c r="I164" s="5" t="n">
        <f aca="false">F164*G164*(1-H164)</f>
        <v>431.2</v>
      </c>
      <c r="J164" s="4" t="s">
        <v>15</v>
      </c>
      <c r="K164" s="5" t="n">
        <f aca="false">VLOOKUP(D164,Products!$A$2:$E$26,4,FALSE())</f>
        <v>28.4</v>
      </c>
      <c r="L164" s="6" t="n">
        <f aca="false">(I164-F164*K164)/I164</f>
        <v>0.341372912801484</v>
      </c>
    </row>
    <row r="165" customFormat="false" ht="15" hidden="false" customHeight="false" outlineLevel="0" collapsed="false">
      <c r="A165" s="0" t="n">
        <v>10161</v>
      </c>
      <c r="B165" s="3" t="n">
        <v>45556</v>
      </c>
      <c r="C165" s="0" t="n">
        <v>2</v>
      </c>
      <c r="D165" s="4" t="s">
        <v>22</v>
      </c>
      <c r="E165" s="4" t="s">
        <v>24</v>
      </c>
      <c r="F165" s="0" t="n">
        <v>23</v>
      </c>
      <c r="G165" s="5" t="n">
        <v>48.87</v>
      </c>
      <c r="H165" s="6" t="n">
        <v>0.1</v>
      </c>
      <c r="I165" s="5" t="n">
        <f aca="false">F165*G165*(1-H165)</f>
        <v>1011.609</v>
      </c>
      <c r="J165" s="4" t="s">
        <v>15</v>
      </c>
      <c r="K165" s="5" t="n">
        <f aca="false">VLOOKUP(D165,Products!$A$2:$E$26,4,FALSE())</f>
        <v>26.06</v>
      </c>
      <c r="L165" s="6" t="n">
        <f aca="false">(I165-F165*K165)/I165</f>
        <v>0.407498351635859</v>
      </c>
    </row>
    <row r="166" customFormat="false" ht="15" hidden="false" customHeight="false" outlineLevel="0" collapsed="false">
      <c r="A166" s="0" t="n">
        <v>10162</v>
      </c>
      <c r="B166" s="3" t="n">
        <v>45405</v>
      </c>
      <c r="C166" s="0" t="n">
        <v>76</v>
      </c>
      <c r="D166" s="4" t="s">
        <v>13</v>
      </c>
      <c r="E166" s="4" t="s">
        <v>24</v>
      </c>
      <c r="F166" s="0" t="n">
        <v>31</v>
      </c>
      <c r="G166" s="5" t="n">
        <v>96.54</v>
      </c>
      <c r="H166" s="6" t="n">
        <v>0</v>
      </c>
      <c r="I166" s="5" t="n">
        <f aca="false">F166*G166*(1-H166)</f>
        <v>2992.74</v>
      </c>
      <c r="J166" s="4" t="s">
        <v>18</v>
      </c>
      <c r="K166" s="5" t="n">
        <f aca="false">VLOOKUP(D166,Products!$A$2:$E$26,4,FALSE())</f>
        <v>39.86</v>
      </c>
      <c r="L166" s="6" t="n">
        <f aca="false">(I166-F166*K166)/I166</f>
        <v>0.587114149575306</v>
      </c>
    </row>
    <row r="167" customFormat="false" ht="15" hidden="false" customHeight="false" outlineLevel="0" collapsed="false">
      <c r="A167" s="0" t="n">
        <v>10163</v>
      </c>
      <c r="B167" s="3" t="n">
        <v>45564</v>
      </c>
      <c r="C167" s="0" t="n">
        <v>50</v>
      </c>
      <c r="D167" s="4" t="s">
        <v>23</v>
      </c>
      <c r="E167" s="4" t="s">
        <v>21</v>
      </c>
      <c r="F167" s="0" t="n">
        <v>7</v>
      </c>
      <c r="G167" s="5" t="n">
        <v>126.09</v>
      </c>
      <c r="H167" s="6" t="n">
        <v>0</v>
      </c>
      <c r="I167" s="5" t="n">
        <f aca="false">F167*G167*(1-H167)</f>
        <v>882.63</v>
      </c>
      <c r="J167" s="4" t="s">
        <v>15</v>
      </c>
      <c r="K167" s="5" t="n">
        <f aca="false">VLOOKUP(D167,Products!$A$2:$E$26,4,FALSE())</f>
        <v>75.38</v>
      </c>
      <c r="L167" s="6" t="n">
        <f aca="false">(I167-F167*K167)/I167</f>
        <v>0.402173050995321</v>
      </c>
    </row>
    <row r="168" customFormat="false" ht="15" hidden="false" customHeight="false" outlineLevel="0" collapsed="false">
      <c r="A168" s="0" t="n">
        <v>10164</v>
      </c>
      <c r="B168" s="3" t="n">
        <v>45616</v>
      </c>
      <c r="C168" s="0" t="n">
        <v>49</v>
      </c>
      <c r="D168" s="4" t="s">
        <v>35</v>
      </c>
      <c r="E168" s="4" t="s">
        <v>21</v>
      </c>
      <c r="F168" s="0" t="n">
        <v>5</v>
      </c>
      <c r="G168" s="5" t="n">
        <v>384.87</v>
      </c>
      <c r="H168" s="6" t="n">
        <v>0.05</v>
      </c>
      <c r="I168" s="5" t="n">
        <f aca="false">F168*G168*(1-H168)</f>
        <v>1828.1325</v>
      </c>
      <c r="J168" s="4" t="s">
        <v>15</v>
      </c>
      <c r="K168" s="5" t="n">
        <f aca="false">VLOOKUP(D168,Products!$A$2:$E$26,4,FALSE())</f>
        <v>244.6</v>
      </c>
      <c r="L168" s="6" t="n">
        <f aca="false">(I168-F168*K168)/I168</f>
        <v>0.331011291577607</v>
      </c>
    </row>
    <row r="169" customFormat="false" ht="15" hidden="false" customHeight="false" outlineLevel="0" collapsed="false">
      <c r="A169" s="0" t="n">
        <v>10165</v>
      </c>
      <c r="B169" s="3" t="n">
        <v>45417</v>
      </c>
      <c r="C169" s="0" t="n">
        <v>5</v>
      </c>
      <c r="D169" s="4" t="s">
        <v>23</v>
      </c>
      <c r="E169" s="4" t="s">
        <v>20</v>
      </c>
      <c r="F169" s="0" t="n">
        <v>10</v>
      </c>
      <c r="G169" s="5" t="n">
        <v>122.77</v>
      </c>
      <c r="H169" s="6" t="n">
        <v>0.15</v>
      </c>
      <c r="I169" s="5" t="n">
        <f aca="false">F169*G169*(1-H169)</f>
        <v>1043.545</v>
      </c>
      <c r="J169" s="4" t="s">
        <v>28</v>
      </c>
      <c r="K169" s="5" t="n">
        <f aca="false">VLOOKUP(D169,Products!$A$2:$E$26,4,FALSE())</f>
        <v>75.38</v>
      </c>
      <c r="L169" s="6" t="n">
        <f aca="false">(I169-F169*K169)/I169</f>
        <v>0.277654533345472</v>
      </c>
    </row>
    <row r="170" customFormat="false" ht="15" hidden="false" customHeight="false" outlineLevel="0" collapsed="false">
      <c r="A170" s="0" t="n">
        <v>10166</v>
      </c>
      <c r="B170" s="3" t="n">
        <v>45496</v>
      </c>
      <c r="C170" s="0" t="n">
        <v>45</v>
      </c>
      <c r="D170" s="4" t="s">
        <v>34</v>
      </c>
      <c r="E170" s="4" t="s">
        <v>24</v>
      </c>
      <c r="F170" s="0" t="n">
        <v>7</v>
      </c>
      <c r="G170" s="5" t="n">
        <v>21.61</v>
      </c>
      <c r="H170" s="6" t="n">
        <v>0</v>
      </c>
      <c r="I170" s="5" t="n">
        <f aca="false">F170*G170*(1-H170)</f>
        <v>151.27</v>
      </c>
      <c r="J170" s="4" t="s">
        <v>28</v>
      </c>
      <c r="K170" s="5" t="n">
        <f aca="false">VLOOKUP(D170,Products!$A$2:$E$26,4,FALSE())</f>
        <v>14.34</v>
      </c>
      <c r="L170" s="6" t="n">
        <f aca="false">(I170-F170*K170)/I170</f>
        <v>0.336418324849607</v>
      </c>
    </row>
    <row r="171" customFormat="false" ht="15" hidden="false" customHeight="false" outlineLevel="0" collapsed="false">
      <c r="A171" s="0" t="n">
        <v>10167</v>
      </c>
      <c r="B171" s="3" t="n">
        <v>45649</v>
      </c>
      <c r="C171" s="0" t="n">
        <v>75</v>
      </c>
      <c r="D171" s="4" t="s">
        <v>34</v>
      </c>
      <c r="E171" s="4" t="s">
        <v>20</v>
      </c>
      <c r="F171" s="0" t="n">
        <v>10</v>
      </c>
      <c r="G171" s="5" t="n">
        <v>21.51</v>
      </c>
      <c r="H171" s="6" t="n">
        <v>0.1</v>
      </c>
      <c r="I171" s="5" t="n">
        <f aca="false">F171*G171*(1-H171)</f>
        <v>193.59</v>
      </c>
      <c r="J171" s="4" t="s">
        <v>18</v>
      </c>
      <c r="K171" s="5" t="n">
        <f aca="false">VLOOKUP(D171,Products!$A$2:$E$26,4,FALSE())</f>
        <v>14.34</v>
      </c>
      <c r="L171" s="6" t="n">
        <f aca="false">(I171-F171*K171)/I171</f>
        <v>0.259259259259259</v>
      </c>
    </row>
    <row r="172" customFormat="false" ht="15" hidden="false" customHeight="false" outlineLevel="0" collapsed="false">
      <c r="A172" s="0" t="n">
        <v>10168</v>
      </c>
      <c r="B172" s="3" t="n">
        <v>45424</v>
      </c>
      <c r="C172" s="0" t="n">
        <v>70</v>
      </c>
      <c r="D172" s="4" t="s">
        <v>16</v>
      </c>
      <c r="E172" s="4" t="s">
        <v>14</v>
      </c>
      <c r="F172" s="0" t="n">
        <v>1</v>
      </c>
      <c r="G172" s="5" t="n">
        <v>147.33</v>
      </c>
      <c r="H172" s="6" t="n">
        <v>0.05</v>
      </c>
      <c r="I172" s="5" t="n">
        <f aca="false">F172*G172*(1-H172)</f>
        <v>139.9635</v>
      </c>
      <c r="J172" s="4" t="s">
        <v>15</v>
      </c>
      <c r="K172" s="5" t="n">
        <f aca="false">VLOOKUP(D172,Products!$A$2:$E$26,4,FALSE())</f>
        <v>72.1</v>
      </c>
      <c r="L172" s="6" t="n">
        <f aca="false">(I172-F172*K172)/I172</f>
        <v>0.48486569712818</v>
      </c>
    </row>
    <row r="173" customFormat="false" ht="15" hidden="false" customHeight="false" outlineLevel="0" collapsed="false">
      <c r="A173" s="0" t="n">
        <v>10169</v>
      </c>
      <c r="B173" s="3" t="n">
        <v>45543</v>
      </c>
      <c r="C173" s="0" t="n">
        <v>52</v>
      </c>
      <c r="D173" s="4" t="s">
        <v>42</v>
      </c>
      <c r="E173" s="4" t="s">
        <v>24</v>
      </c>
      <c r="F173" s="0" t="n">
        <v>36</v>
      </c>
      <c r="G173" s="5" t="n">
        <v>77.6</v>
      </c>
      <c r="H173" s="6" t="n">
        <v>0</v>
      </c>
      <c r="I173" s="5" t="n">
        <f aca="false">F173*G173*(1-H173)</f>
        <v>2793.6</v>
      </c>
      <c r="J173" s="4" t="s">
        <v>18</v>
      </c>
      <c r="K173" s="5" t="n">
        <f aca="false">VLOOKUP(D173,Products!$A$2:$E$26,4,FALSE())</f>
        <v>47.32</v>
      </c>
      <c r="L173" s="6" t="n">
        <f aca="false">(I173-F173*K173)/I173</f>
        <v>0.39020618556701</v>
      </c>
    </row>
    <row r="174" customFormat="false" ht="15" hidden="false" customHeight="false" outlineLevel="0" collapsed="false">
      <c r="A174" s="0" t="n">
        <v>10170</v>
      </c>
      <c r="B174" s="3" t="n">
        <v>45355</v>
      </c>
      <c r="C174" s="0" t="n">
        <v>46</v>
      </c>
      <c r="D174" s="4" t="s">
        <v>13</v>
      </c>
      <c r="E174" s="4" t="s">
        <v>14</v>
      </c>
      <c r="F174" s="0" t="n">
        <v>4</v>
      </c>
      <c r="G174" s="5" t="n">
        <v>93.65</v>
      </c>
      <c r="H174" s="6" t="n">
        <v>0</v>
      </c>
      <c r="I174" s="5" t="n">
        <f aca="false">F174*G174*(1-H174)</f>
        <v>374.6</v>
      </c>
      <c r="J174" s="4" t="s">
        <v>15</v>
      </c>
      <c r="K174" s="5" t="n">
        <f aca="false">VLOOKUP(D174,Products!$A$2:$E$26,4,FALSE())</f>
        <v>39.86</v>
      </c>
      <c r="L174" s="6" t="n">
        <f aca="false">(I174-F174*K174)/I174</f>
        <v>0.57437266417512</v>
      </c>
    </row>
    <row r="175" customFormat="false" ht="15" hidden="false" customHeight="false" outlineLevel="0" collapsed="false">
      <c r="A175" s="0" t="n">
        <v>10171</v>
      </c>
      <c r="B175" s="3" t="n">
        <v>45611</v>
      </c>
      <c r="C175" s="0" t="n">
        <v>76</v>
      </c>
      <c r="D175" s="4" t="s">
        <v>42</v>
      </c>
      <c r="E175" s="4" t="s">
        <v>14</v>
      </c>
      <c r="F175" s="0" t="n">
        <v>23</v>
      </c>
      <c r="G175" s="5" t="n">
        <v>73.35</v>
      </c>
      <c r="H175" s="6" t="n">
        <v>0</v>
      </c>
      <c r="I175" s="5" t="n">
        <f aca="false">F175*G175*(1-H175)</f>
        <v>1687.05</v>
      </c>
      <c r="J175" s="4" t="s">
        <v>15</v>
      </c>
      <c r="K175" s="5" t="n">
        <f aca="false">VLOOKUP(D175,Products!$A$2:$E$26,4,FALSE())</f>
        <v>47.32</v>
      </c>
      <c r="L175" s="6" t="n">
        <f aca="false">(I175-F175*K175)/I175</f>
        <v>0.354873892297205</v>
      </c>
    </row>
    <row r="176" customFormat="false" ht="15" hidden="false" customHeight="false" outlineLevel="0" collapsed="false">
      <c r="A176" s="0" t="n">
        <v>10172</v>
      </c>
      <c r="B176" s="3" t="n">
        <v>45365</v>
      </c>
      <c r="C176" s="0" t="n">
        <v>51</v>
      </c>
      <c r="D176" s="4" t="s">
        <v>37</v>
      </c>
      <c r="E176" s="4" t="s">
        <v>21</v>
      </c>
      <c r="F176" s="0" t="n">
        <v>7</v>
      </c>
      <c r="G176" s="5" t="n">
        <v>7.87</v>
      </c>
      <c r="H176" s="6" t="n">
        <v>0.15</v>
      </c>
      <c r="I176" s="5" t="n">
        <f aca="false">F176*G176*(1-H176)</f>
        <v>46.8265</v>
      </c>
      <c r="J176" s="4" t="s">
        <v>15</v>
      </c>
      <c r="K176" s="5" t="n">
        <f aca="false">VLOOKUP(D176,Products!$A$2:$E$26,4,FALSE())</f>
        <v>3.88</v>
      </c>
      <c r="L176" s="6" t="n">
        <f aca="false">(I176-F176*K176)/I176</f>
        <v>0.419986546079677</v>
      </c>
    </row>
    <row r="177" customFormat="false" ht="15" hidden="false" customHeight="false" outlineLevel="0" collapsed="false">
      <c r="A177" s="0" t="n">
        <v>10173</v>
      </c>
      <c r="B177" s="3" t="n">
        <v>45513</v>
      </c>
      <c r="C177" s="0" t="n">
        <v>69</v>
      </c>
      <c r="D177" s="4" t="s">
        <v>38</v>
      </c>
      <c r="E177" s="4" t="s">
        <v>24</v>
      </c>
      <c r="F177" s="0" t="n">
        <v>21</v>
      </c>
      <c r="G177" s="5" t="n">
        <v>177.07</v>
      </c>
      <c r="H177" s="6" t="n">
        <v>0.1</v>
      </c>
      <c r="I177" s="5" t="n">
        <f aca="false">F177*G177*(1-H177)</f>
        <v>3346.623</v>
      </c>
      <c r="J177" s="4" t="s">
        <v>28</v>
      </c>
      <c r="K177" s="5" t="n">
        <f aca="false">VLOOKUP(D177,Products!$A$2:$E$26,4,FALSE())</f>
        <v>107.25</v>
      </c>
      <c r="L177" s="6" t="n">
        <f aca="false">(I177-F177*K177)/I177</f>
        <v>0.327008151201973</v>
      </c>
    </row>
    <row r="178" customFormat="false" ht="15" hidden="false" customHeight="false" outlineLevel="0" collapsed="false">
      <c r="A178" s="0" t="n">
        <v>10174</v>
      </c>
      <c r="B178" s="3" t="n">
        <v>45528</v>
      </c>
      <c r="C178" s="0" t="n">
        <v>16</v>
      </c>
      <c r="D178" s="4" t="s">
        <v>27</v>
      </c>
      <c r="E178" s="4" t="s">
        <v>20</v>
      </c>
      <c r="F178" s="0" t="n">
        <v>6</v>
      </c>
      <c r="G178" s="5" t="n">
        <v>115.28</v>
      </c>
      <c r="H178" s="6" t="n">
        <v>0</v>
      </c>
      <c r="I178" s="5" t="n">
        <f aca="false">F178*G178*(1-H178)</f>
        <v>691.68</v>
      </c>
      <c r="J178" s="4" t="s">
        <v>15</v>
      </c>
      <c r="K178" s="5" t="n">
        <f aca="false">VLOOKUP(D178,Products!$A$2:$E$26,4,FALSE())</f>
        <v>45.07</v>
      </c>
      <c r="L178" s="6" t="n">
        <f aca="false">(I178-F178*K178)/I178</f>
        <v>0.609038861901457</v>
      </c>
    </row>
    <row r="179" customFormat="false" ht="15" hidden="false" customHeight="false" outlineLevel="0" collapsed="false">
      <c r="A179" s="0" t="n">
        <v>10175</v>
      </c>
      <c r="B179" s="3" t="n">
        <v>45328</v>
      </c>
      <c r="C179" s="0" t="n">
        <v>24</v>
      </c>
      <c r="D179" s="4" t="s">
        <v>25</v>
      </c>
      <c r="E179" s="4" t="s">
        <v>20</v>
      </c>
      <c r="F179" s="0" t="n">
        <v>8</v>
      </c>
      <c r="G179" s="5" t="n">
        <v>216.43</v>
      </c>
      <c r="H179" s="6" t="n">
        <v>0</v>
      </c>
      <c r="I179" s="5" t="n">
        <f aca="false">F179*G179*(1-H179)</f>
        <v>1731.44</v>
      </c>
      <c r="J179" s="4" t="s">
        <v>15</v>
      </c>
      <c r="K179" s="5" t="n">
        <f aca="false">VLOOKUP(D179,Products!$A$2:$E$26,4,FALSE())</f>
        <v>128.85</v>
      </c>
      <c r="L179" s="6" t="n">
        <f aca="false">(I179-F179*K179)/I179</f>
        <v>0.404657395000693</v>
      </c>
    </row>
    <row r="180" customFormat="false" ht="15" hidden="false" customHeight="false" outlineLevel="0" collapsed="false">
      <c r="A180" s="0" t="n">
        <v>10176</v>
      </c>
      <c r="B180" s="3" t="n">
        <v>45625</v>
      </c>
      <c r="C180" s="0" t="n">
        <v>51</v>
      </c>
      <c r="D180" s="4" t="s">
        <v>22</v>
      </c>
      <c r="E180" s="4" t="s">
        <v>14</v>
      </c>
      <c r="F180" s="0" t="n">
        <v>16</v>
      </c>
      <c r="G180" s="5" t="n">
        <v>51.02</v>
      </c>
      <c r="H180" s="6" t="n">
        <v>0</v>
      </c>
      <c r="I180" s="5" t="n">
        <f aca="false">F180*G180*(1-H180)</f>
        <v>816.32</v>
      </c>
      <c r="J180" s="4" t="s">
        <v>18</v>
      </c>
      <c r="K180" s="5" t="n">
        <f aca="false">VLOOKUP(D180,Products!$A$2:$E$26,4,FALSE())</f>
        <v>26.06</v>
      </c>
      <c r="L180" s="6" t="n">
        <f aca="false">(I180-F180*K180)/I180</f>
        <v>0.48921991375931</v>
      </c>
    </row>
    <row r="181" customFormat="false" ht="15" hidden="false" customHeight="false" outlineLevel="0" collapsed="false">
      <c r="A181" s="0" t="n">
        <v>10177</v>
      </c>
      <c r="B181" s="3" t="n">
        <v>45648</v>
      </c>
      <c r="C181" s="0" t="n">
        <v>68</v>
      </c>
      <c r="D181" s="4" t="s">
        <v>16</v>
      </c>
      <c r="E181" s="4" t="s">
        <v>20</v>
      </c>
      <c r="F181" s="0" t="n">
        <v>27</v>
      </c>
      <c r="G181" s="5" t="n">
        <v>138.76</v>
      </c>
      <c r="H181" s="6" t="n">
        <v>0</v>
      </c>
      <c r="I181" s="5" t="n">
        <f aca="false">F181*G181*(1-H181)</f>
        <v>3746.52</v>
      </c>
      <c r="J181" s="4" t="s">
        <v>18</v>
      </c>
      <c r="K181" s="5" t="n">
        <f aca="false">VLOOKUP(D181,Products!$A$2:$E$26,4,FALSE())</f>
        <v>72.1</v>
      </c>
      <c r="L181" s="6" t="n">
        <f aca="false">(I181-F181*K181)/I181</f>
        <v>0.480397809166907</v>
      </c>
    </row>
    <row r="182" customFormat="false" ht="15" hidden="false" customHeight="false" outlineLevel="0" collapsed="false">
      <c r="A182" s="0" t="n">
        <v>10178</v>
      </c>
      <c r="B182" s="3" t="n">
        <v>45347</v>
      </c>
      <c r="C182" s="0" t="n">
        <v>60</v>
      </c>
      <c r="D182" s="4" t="s">
        <v>43</v>
      </c>
      <c r="E182" s="4" t="s">
        <v>20</v>
      </c>
      <c r="F182" s="0" t="n">
        <v>2</v>
      </c>
      <c r="G182" s="5" t="n">
        <v>218.75</v>
      </c>
      <c r="H182" s="6" t="n">
        <v>0.1</v>
      </c>
      <c r="I182" s="5" t="n">
        <f aca="false">F182*G182*(1-H182)</f>
        <v>393.75</v>
      </c>
      <c r="J182" s="4" t="s">
        <v>28</v>
      </c>
      <c r="K182" s="5" t="n">
        <f aca="false">VLOOKUP(D182,Products!$A$2:$E$26,4,FALSE())</f>
        <v>126.91</v>
      </c>
      <c r="L182" s="6" t="n">
        <f aca="false">(I182-F182*K182)/I182</f>
        <v>0.355377777777778</v>
      </c>
    </row>
    <row r="183" customFormat="false" ht="15" hidden="false" customHeight="false" outlineLevel="0" collapsed="false">
      <c r="A183" s="0" t="n">
        <v>10179</v>
      </c>
      <c r="B183" s="3" t="n">
        <v>45579</v>
      </c>
      <c r="C183" s="0" t="n">
        <v>60</v>
      </c>
      <c r="D183" s="4" t="s">
        <v>44</v>
      </c>
      <c r="E183" s="4" t="s">
        <v>14</v>
      </c>
      <c r="F183" s="0" t="n">
        <v>39</v>
      </c>
      <c r="G183" s="5" t="n">
        <v>32.15</v>
      </c>
      <c r="H183" s="6" t="n">
        <v>0.05</v>
      </c>
      <c r="I183" s="5" t="n">
        <f aca="false">F183*G183*(1-H183)</f>
        <v>1191.1575</v>
      </c>
      <c r="J183" s="4" t="s">
        <v>15</v>
      </c>
      <c r="K183" s="5" t="n">
        <f aca="false">VLOOKUP(D183,Products!$A$2:$E$26,4,FALSE())</f>
        <v>18.41</v>
      </c>
      <c r="L183" s="6" t="n">
        <f aca="false">(I183-F183*K183)/I183</f>
        <v>0.397233363346157</v>
      </c>
    </row>
    <row r="184" customFormat="false" ht="15" hidden="false" customHeight="false" outlineLevel="0" collapsed="false">
      <c r="A184" s="0" t="n">
        <v>10180</v>
      </c>
      <c r="B184" s="3" t="n">
        <v>45608</v>
      </c>
      <c r="C184" s="0" t="n">
        <v>24</v>
      </c>
      <c r="D184" s="4" t="s">
        <v>22</v>
      </c>
      <c r="E184" s="4" t="s">
        <v>24</v>
      </c>
      <c r="F184" s="0" t="n">
        <v>26</v>
      </c>
      <c r="G184" s="5" t="n">
        <v>48.4</v>
      </c>
      <c r="H184" s="6" t="n">
        <v>0.1</v>
      </c>
      <c r="I184" s="5" t="n">
        <f aca="false">F184*G184*(1-H184)</f>
        <v>1132.56</v>
      </c>
      <c r="J184" s="4" t="s">
        <v>15</v>
      </c>
      <c r="K184" s="5" t="n">
        <f aca="false">VLOOKUP(D184,Products!$A$2:$E$26,4,FALSE())</f>
        <v>26.06</v>
      </c>
      <c r="L184" s="6" t="n">
        <f aca="false">(I184-F184*K184)/I184</f>
        <v>0.401744719926538</v>
      </c>
    </row>
    <row r="185" customFormat="false" ht="15" hidden="false" customHeight="false" outlineLevel="0" collapsed="false">
      <c r="A185" s="0" t="n">
        <v>10181</v>
      </c>
      <c r="B185" s="3" t="n">
        <v>45538</v>
      </c>
      <c r="C185" s="0" t="n">
        <v>3</v>
      </c>
      <c r="D185" s="4" t="s">
        <v>31</v>
      </c>
      <c r="E185" s="4" t="s">
        <v>14</v>
      </c>
      <c r="F185" s="0" t="n">
        <v>34</v>
      </c>
      <c r="G185" s="5" t="n">
        <v>43.31</v>
      </c>
      <c r="H185" s="6" t="n">
        <v>0</v>
      </c>
      <c r="I185" s="5" t="n">
        <f aca="false">F185*G185*(1-H185)</f>
        <v>1472.54</v>
      </c>
      <c r="J185" s="4" t="s">
        <v>28</v>
      </c>
      <c r="K185" s="5" t="n">
        <f aca="false">VLOOKUP(D185,Products!$A$2:$E$26,4,FALSE())</f>
        <v>23.25</v>
      </c>
      <c r="L185" s="6" t="n">
        <f aca="false">(I185-F185*K185)/I185</f>
        <v>0.463172477487878</v>
      </c>
    </row>
    <row r="186" customFormat="false" ht="15" hidden="false" customHeight="false" outlineLevel="0" collapsed="false">
      <c r="A186" s="0" t="n">
        <v>10182</v>
      </c>
      <c r="B186" s="3" t="n">
        <v>45407</v>
      </c>
      <c r="C186" s="0" t="n">
        <v>56</v>
      </c>
      <c r="D186" s="4" t="s">
        <v>33</v>
      </c>
      <c r="E186" s="4" t="s">
        <v>24</v>
      </c>
      <c r="F186" s="0" t="n">
        <v>29</v>
      </c>
      <c r="G186" s="5" t="n">
        <v>43.63</v>
      </c>
      <c r="H186" s="6" t="n">
        <v>0.1</v>
      </c>
      <c r="I186" s="5" t="n">
        <f aca="false">F186*G186*(1-H186)</f>
        <v>1138.743</v>
      </c>
      <c r="J186" s="4" t="s">
        <v>15</v>
      </c>
      <c r="K186" s="5" t="n">
        <f aca="false">VLOOKUP(D186,Products!$A$2:$E$26,4,FALSE())</f>
        <v>28.4</v>
      </c>
      <c r="L186" s="6" t="n">
        <f aca="false">(I186-F186*K186)/I186</f>
        <v>0.276746377365218</v>
      </c>
    </row>
    <row r="187" customFormat="false" ht="15" hidden="false" customHeight="false" outlineLevel="0" collapsed="false">
      <c r="A187" s="0" t="n">
        <v>10183</v>
      </c>
      <c r="B187" s="3" t="n">
        <v>45340</v>
      </c>
      <c r="C187" s="0" t="n">
        <v>10</v>
      </c>
      <c r="D187" s="4" t="s">
        <v>16</v>
      </c>
      <c r="E187" s="4" t="s">
        <v>20</v>
      </c>
      <c r="F187" s="0" t="n">
        <v>21</v>
      </c>
      <c r="G187" s="5" t="n">
        <v>138.13</v>
      </c>
      <c r="H187" s="6" t="n">
        <v>0</v>
      </c>
      <c r="I187" s="5" t="n">
        <f aca="false">F187*G187*(1-H187)</f>
        <v>2900.73</v>
      </c>
      <c r="J187" s="4" t="s">
        <v>28</v>
      </c>
      <c r="K187" s="5" t="n">
        <f aca="false">VLOOKUP(D187,Products!$A$2:$E$26,4,FALSE())</f>
        <v>72.1</v>
      </c>
      <c r="L187" s="6" t="n">
        <f aca="false">(I187-F187*K187)/I187</f>
        <v>0.478027944689785</v>
      </c>
    </row>
    <row r="188" customFormat="false" ht="15" hidden="false" customHeight="false" outlineLevel="0" collapsed="false">
      <c r="A188" s="0" t="n">
        <v>10184</v>
      </c>
      <c r="B188" s="3" t="n">
        <v>45536</v>
      </c>
      <c r="C188" s="0" t="n">
        <v>77</v>
      </c>
      <c r="D188" s="4" t="s">
        <v>29</v>
      </c>
      <c r="E188" s="4" t="s">
        <v>14</v>
      </c>
      <c r="F188" s="0" t="n">
        <v>16</v>
      </c>
      <c r="G188" s="5" t="n">
        <v>74.91</v>
      </c>
      <c r="H188" s="6" t="n">
        <v>0</v>
      </c>
      <c r="I188" s="5" t="n">
        <f aca="false">F188*G188*(1-H188)</f>
        <v>1198.56</v>
      </c>
      <c r="J188" s="4" t="s">
        <v>28</v>
      </c>
      <c r="K188" s="5" t="n">
        <f aca="false">VLOOKUP(D188,Products!$A$2:$E$26,4,FALSE())</f>
        <v>38.68</v>
      </c>
      <c r="L188" s="6" t="n">
        <f aca="false">(I188-F188*K188)/I188</f>
        <v>0.483647043118409</v>
      </c>
    </row>
    <row r="189" customFormat="false" ht="15" hidden="false" customHeight="false" outlineLevel="0" collapsed="false">
      <c r="A189" s="0" t="n">
        <v>10185</v>
      </c>
      <c r="B189" s="3" t="n">
        <v>45397</v>
      </c>
      <c r="C189" s="0" t="n">
        <v>16</v>
      </c>
      <c r="D189" s="4" t="s">
        <v>32</v>
      </c>
      <c r="E189" s="4" t="s">
        <v>24</v>
      </c>
      <c r="F189" s="0" t="n">
        <v>26</v>
      </c>
      <c r="G189" s="5" t="n">
        <v>341.75</v>
      </c>
      <c r="H189" s="6" t="n">
        <v>0.05</v>
      </c>
      <c r="I189" s="5" t="n">
        <f aca="false">F189*G189*(1-H189)</f>
        <v>8441.225</v>
      </c>
      <c r="J189" s="4" t="s">
        <v>15</v>
      </c>
      <c r="K189" s="5" t="n">
        <f aca="false">VLOOKUP(D189,Products!$A$2:$E$26,4,FALSE())</f>
        <v>144.3</v>
      </c>
      <c r="L189" s="6" t="n">
        <f aca="false">(I189-F189*K189)/I189</f>
        <v>0.555538443768529</v>
      </c>
    </row>
    <row r="190" customFormat="false" ht="15" hidden="false" customHeight="false" outlineLevel="0" collapsed="false">
      <c r="A190" s="0" t="n">
        <v>10186</v>
      </c>
      <c r="B190" s="3" t="n">
        <v>45524</v>
      </c>
      <c r="C190" s="0" t="n">
        <v>44</v>
      </c>
      <c r="D190" s="4" t="s">
        <v>16</v>
      </c>
      <c r="E190" s="4" t="s">
        <v>21</v>
      </c>
      <c r="F190" s="0" t="n">
        <v>26</v>
      </c>
      <c r="G190" s="5" t="n">
        <v>142.98</v>
      </c>
      <c r="H190" s="6" t="n">
        <v>0</v>
      </c>
      <c r="I190" s="5" t="n">
        <f aca="false">F190*G190*(1-H190)</f>
        <v>3717.48</v>
      </c>
      <c r="J190" s="4" t="s">
        <v>28</v>
      </c>
      <c r="K190" s="5" t="n">
        <f aca="false">VLOOKUP(D190,Products!$A$2:$E$26,4,FALSE())</f>
        <v>72.1</v>
      </c>
      <c r="L190" s="6" t="n">
        <f aca="false">(I190-F190*K190)/I190</f>
        <v>0.495733669044622</v>
      </c>
    </row>
    <row r="191" customFormat="false" ht="15" hidden="false" customHeight="false" outlineLevel="0" collapsed="false">
      <c r="A191" s="0" t="n">
        <v>10187</v>
      </c>
      <c r="B191" s="3" t="n">
        <v>45350</v>
      </c>
      <c r="C191" s="0" t="n">
        <v>74</v>
      </c>
      <c r="D191" s="4" t="s">
        <v>25</v>
      </c>
      <c r="E191" s="4" t="s">
        <v>20</v>
      </c>
      <c r="F191" s="0" t="n">
        <v>25</v>
      </c>
      <c r="G191" s="5" t="n">
        <v>202.76</v>
      </c>
      <c r="H191" s="6" t="n">
        <v>0.1</v>
      </c>
      <c r="I191" s="5" t="n">
        <f aca="false">F191*G191*(1-H191)</f>
        <v>4562.1</v>
      </c>
      <c r="J191" s="4" t="s">
        <v>15</v>
      </c>
      <c r="K191" s="5" t="n">
        <f aca="false">VLOOKUP(D191,Products!$A$2:$E$26,4,FALSE())</f>
        <v>128.85</v>
      </c>
      <c r="L191" s="6" t="n">
        <f aca="false">(I191-F191*K191)/I191</f>
        <v>0.293910699020188</v>
      </c>
    </row>
    <row r="192" customFormat="false" ht="15" hidden="false" customHeight="false" outlineLevel="0" collapsed="false">
      <c r="A192" s="0" t="n">
        <v>10188</v>
      </c>
      <c r="B192" s="3" t="n">
        <v>45377</v>
      </c>
      <c r="C192" s="0" t="n">
        <v>77</v>
      </c>
      <c r="D192" s="4" t="s">
        <v>36</v>
      </c>
      <c r="E192" s="4" t="s">
        <v>20</v>
      </c>
      <c r="F192" s="0" t="n">
        <v>13</v>
      </c>
      <c r="G192" s="5" t="n">
        <v>53.81</v>
      </c>
      <c r="H192" s="6" t="n">
        <v>0.05</v>
      </c>
      <c r="I192" s="5" t="n">
        <f aca="false">F192*G192*(1-H192)</f>
        <v>664.5535</v>
      </c>
      <c r="J192" s="4" t="s">
        <v>15</v>
      </c>
      <c r="K192" s="5" t="n">
        <f aca="false">VLOOKUP(D192,Products!$A$2:$E$26,4,FALSE())</f>
        <v>23.74</v>
      </c>
      <c r="L192" s="6" t="n">
        <f aca="false">(I192-F192*K192)/I192</f>
        <v>0.535597961638905</v>
      </c>
    </row>
    <row r="193" customFormat="false" ht="15" hidden="false" customHeight="false" outlineLevel="0" collapsed="false">
      <c r="A193" s="0" t="n">
        <v>10189</v>
      </c>
      <c r="B193" s="3" t="n">
        <v>45524</v>
      </c>
      <c r="C193" s="0" t="n">
        <v>77</v>
      </c>
      <c r="D193" s="4" t="s">
        <v>44</v>
      </c>
      <c r="E193" s="4" t="s">
        <v>20</v>
      </c>
      <c r="F193" s="0" t="n">
        <v>1</v>
      </c>
      <c r="G193" s="5" t="n">
        <v>30.08</v>
      </c>
      <c r="H193" s="6" t="n">
        <v>0</v>
      </c>
      <c r="I193" s="5" t="n">
        <f aca="false">F193*G193*(1-H193)</f>
        <v>30.08</v>
      </c>
      <c r="J193" s="4" t="s">
        <v>15</v>
      </c>
      <c r="K193" s="5" t="n">
        <f aca="false">VLOOKUP(D193,Products!$A$2:$E$26,4,FALSE())</f>
        <v>18.41</v>
      </c>
      <c r="L193" s="6" t="n">
        <f aca="false">(I193-F193*K193)/I193</f>
        <v>0.387965425531915</v>
      </c>
    </row>
    <row r="194" customFormat="false" ht="15" hidden="false" customHeight="false" outlineLevel="0" collapsed="false">
      <c r="A194" s="0" t="n">
        <v>10190</v>
      </c>
      <c r="B194" s="3" t="n">
        <v>45485</v>
      </c>
      <c r="C194" s="0" t="n">
        <v>60</v>
      </c>
      <c r="D194" s="4" t="s">
        <v>34</v>
      </c>
      <c r="E194" s="4" t="s">
        <v>21</v>
      </c>
      <c r="F194" s="0" t="n">
        <v>39</v>
      </c>
      <c r="G194" s="5" t="n">
        <v>21.18</v>
      </c>
      <c r="H194" s="6" t="n">
        <v>0.05</v>
      </c>
      <c r="I194" s="5" t="n">
        <f aca="false">F194*G194*(1-H194)</f>
        <v>784.719</v>
      </c>
      <c r="J194" s="4" t="s">
        <v>15</v>
      </c>
      <c r="K194" s="5" t="n">
        <f aca="false">VLOOKUP(D194,Products!$A$2:$E$26,4,FALSE())</f>
        <v>14.34</v>
      </c>
      <c r="L194" s="6" t="n">
        <f aca="false">(I194-F194*K194)/I194</f>
        <v>0.287311763828836</v>
      </c>
    </row>
    <row r="195" customFormat="false" ht="15" hidden="false" customHeight="false" outlineLevel="0" collapsed="false">
      <c r="A195" s="0" t="n">
        <v>10191</v>
      </c>
      <c r="B195" s="3" t="n">
        <v>45531</v>
      </c>
      <c r="C195" s="0" t="n">
        <v>69</v>
      </c>
      <c r="D195" s="4" t="s">
        <v>25</v>
      </c>
      <c r="E195" s="4" t="s">
        <v>21</v>
      </c>
      <c r="F195" s="0" t="n">
        <v>13</v>
      </c>
      <c r="G195" s="5" t="n">
        <v>212.49</v>
      </c>
      <c r="H195" s="6" t="n">
        <v>0.15</v>
      </c>
      <c r="I195" s="5" t="n">
        <f aca="false">F195*G195*(1-H195)</f>
        <v>2348.0145</v>
      </c>
      <c r="J195" s="4" t="s">
        <v>15</v>
      </c>
      <c r="K195" s="5" t="n">
        <f aca="false">VLOOKUP(D195,Products!$A$2:$E$26,4,FALSE())</f>
        <v>128.85</v>
      </c>
      <c r="L195" s="6" t="n">
        <f aca="false">(I195-F195*K195)/I195</f>
        <v>0.286610027323085</v>
      </c>
    </row>
    <row r="196" customFormat="false" ht="15" hidden="false" customHeight="false" outlineLevel="0" collapsed="false">
      <c r="A196" s="0" t="n">
        <v>10192</v>
      </c>
      <c r="B196" s="3" t="n">
        <v>45392</v>
      </c>
      <c r="C196" s="0" t="n">
        <v>30</v>
      </c>
      <c r="D196" s="4" t="s">
        <v>43</v>
      </c>
      <c r="E196" s="4" t="s">
        <v>21</v>
      </c>
      <c r="F196" s="0" t="n">
        <v>18</v>
      </c>
      <c r="G196" s="5" t="n">
        <v>212.25</v>
      </c>
      <c r="H196" s="6" t="n">
        <v>0.15</v>
      </c>
      <c r="I196" s="5" t="n">
        <f aca="false">F196*G196*(1-H196)</f>
        <v>3247.425</v>
      </c>
      <c r="J196" s="4" t="s">
        <v>15</v>
      </c>
      <c r="K196" s="5" t="n">
        <f aca="false">VLOOKUP(D196,Products!$A$2:$E$26,4,FALSE())</f>
        <v>126.91</v>
      </c>
      <c r="L196" s="6" t="n">
        <f aca="false">(I196-F196*K196)/I196</f>
        <v>0.296556502459641</v>
      </c>
    </row>
    <row r="197" customFormat="false" ht="15" hidden="false" customHeight="false" outlineLevel="0" collapsed="false">
      <c r="A197" s="0" t="n">
        <v>10193</v>
      </c>
      <c r="B197" s="3" t="n">
        <v>45481</v>
      </c>
      <c r="C197" s="0" t="n">
        <v>4</v>
      </c>
      <c r="D197" s="4" t="s">
        <v>36</v>
      </c>
      <c r="E197" s="4" t="s">
        <v>24</v>
      </c>
      <c r="F197" s="0" t="n">
        <v>10</v>
      </c>
      <c r="G197" s="5" t="n">
        <v>49.15</v>
      </c>
      <c r="H197" s="6" t="n">
        <v>0</v>
      </c>
      <c r="I197" s="5" t="n">
        <f aca="false">F197*G197*(1-H197)</f>
        <v>491.5</v>
      </c>
      <c r="J197" s="4" t="s">
        <v>15</v>
      </c>
      <c r="K197" s="5" t="n">
        <f aca="false">VLOOKUP(D197,Products!$A$2:$E$26,4,FALSE())</f>
        <v>23.74</v>
      </c>
      <c r="L197" s="6" t="n">
        <f aca="false">(I197-F197*K197)/I197</f>
        <v>0.516988809766023</v>
      </c>
    </row>
    <row r="198" customFormat="false" ht="15" hidden="false" customHeight="false" outlineLevel="0" collapsed="false">
      <c r="A198" s="0" t="n">
        <v>10194</v>
      </c>
      <c r="B198" s="3" t="n">
        <v>45376</v>
      </c>
      <c r="C198" s="0" t="n">
        <v>45</v>
      </c>
      <c r="D198" s="4" t="s">
        <v>35</v>
      </c>
      <c r="E198" s="4" t="s">
        <v>20</v>
      </c>
      <c r="F198" s="0" t="n">
        <v>28</v>
      </c>
      <c r="G198" s="5" t="n">
        <v>388.11</v>
      </c>
      <c r="H198" s="6" t="n">
        <v>0</v>
      </c>
      <c r="I198" s="5" t="n">
        <f aca="false">F198*G198*(1-H198)</f>
        <v>10867.08</v>
      </c>
      <c r="J198" s="4" t="s">
        <v>15</v>
      </c>
      <c r="K198" s="5" t="n">
        <f aca="false">VLOOKUP(D198,Products!$A$2:$E$26,4,FALSE())</f>
        <v>244.6</v>
      </c>
      <c r="L198" s="6" t="n">
        <f aca="false">(I198-F198*K198)/I198</f>
        <v>0.369766303367602</v>
      </c>
    </row>
    <row r="199" customFormat="false" ht="15" hidden="false" customHeight="false" outlineLevel="0" collapsed="false">
      <c r="A199" s="0" t="n">
        <v>10195</v>
      </c>
      <c r="B199" s="3" t="n">
        <v>45343</v>
      </c>
      <c r="C199" s="0" t="n">
        <v>19</v>
      </c>
      <c r="D199" s="4" t="s">
        <v>30</v>
      </c>
      <c r="E199" s="4" t="s">
        <v>20</v>
      </c>
      <c r="F199" s="0" t="n">
        <v>31</v>
      </c>
      <c r="G199" s="5" t="n">
        <v>215.38</v>
      </c>
      <c r="H199" s="6" t="n">
        <v>0.1</v>
      </c>
      <c r="I199" s="5" t="n">
        <f aca="false">F199*G199*(1-H199)</f>
        <v>6009.102</v>
      </c>
      <c r="J199" s="4" t="s">
        <v>15</v>
      </c>
      <c r="K199" s="5" t="n">
        <f aca="false">VLOOKUP(D199,Products!$A$2:$E$26,4,FALSE())</f>
        <v>97.8</v>
      </c>
      <c r="L199" s="6" t="n">
        <f aca="false">(I199-F199*K199)/I199</f>
        <v>0.495465379020027</v>
      </c>
    </row>
    <row r="200" customFormat="false" ht="15" hidden="false" customHeight="false" outlineLevel="0" collapsed="false">
      <c r="A200" s="0" t="n">
        <v>10196</v>
      </c>
      <c r="B200" s="3" t="n">
        <v>45428</v>
      </c>
      <c r="C200" s="0" t="n">
        <v>32</v>
      </c>
      <c r="D200" s="4" t="s">
        <v>31</v>
      </c>
      <c r="E200" s="4" t="s">
        <v>24</v>
      </c>
      <c r="F200" s="0" t="n">
        <v>40</v>
      </c>
      <c r="G200" s="5" t="n">
        <v>45.38</v>
      </c>
      <c r="H200" s="6" t="n">
        <v>0</v>
      </c>
      <c r="I200" s="5" t="n">
        <f aca="false">F200*G200*(1-H200)</f>
        <v>1815.2</v>
      </c>
      <c r="J200" s="4" t="s">
        <v>15</v>
      </c>
      <c r="K200" s="5" t="n">
        <f aca="false">VLOOKUP(D200,Products!$A$2:$E$26,4,FALSE())</f>
        <v>23.25</v>
      </c>
      <c r="L200" s="6" t="n">
        <f aca="false">(I200-F200*K200)/I200</f>
        <v>0.487659762009696</v>
      </c>
    </row>
    <row r="201" customFormat="false" ht="15" hidden="false" customHeight="false" outlineLevel="0" collapsed="false">
      <c r="A201" s="0" t="n">
        <v>10197</v>
      </c>
      <c r="B201" s="3" t="n">
        <v>45603</v>
      </c>
      <c r="C201" s="0" t="n">
        <v>77</v>
      </c>
      <c r="D201" s="4" t="s">
        <v>38</v>
      </c>
      <c r="E201" s="4" t="s">
        <v>20</v>
      </c>
      <c r="F201" s="0" t="n">
        <v>30</v>
      </c>
      <c r="G201" s="5" t="n">
        <v>166.43</v>
      </c>
      <c r="H201" s="6" t="n">
        <v>0.1</v>
      </c>
      <c r="I201" s="5" t="n">
        <f aca="false">F201*G201*(1-H201)</f>
        <v>4493.61</v>
      </c>
      <c r="J201" s="4" t="s">
        <v>15</v>
      </c>
      <c r="K201" s="5" t="n">
        <f aca="false">VLOOKUP(D201,Products!$A$2:$E$26,4,FALSE())</f>
        <v>107.25</v>
      </c>
      <c r="L201" s="6" t="n">
        <f aca="false">(I201-F201*K201)/I201</f>
        <v>0.283983256223838</v>
      </c>
    </row>
    <row r="202" customFormat="false" ht="15" hidden="false" customHeight="false" outlineLevel="0" collapsed="false">
      <c r="A202" s="0" t="n">
        <v>10198</v>
      </c>
      <c r="B202" s="3" t="n">
        <v>45422</v>
      </c>
      <c r="C202" s="0" t="n">
        <v>31</v>
      </c>
      <c r="D202" s="4" t="s">
        <v>13</v>
      </c>
      <c r="E202" s="4" t="s">
        <v>24</v>
      </c>
      <c r="F202" s="0" t="n">
        <v>15</v>
      </c>
      <c r="G202" s="5" t="n">
        <v>93.02</v>
      </c>
      <c r="H202" s="6" t="n">
        <v>0</v>
      </c>
      <c r="I202" s="5" t="n">
        <f aca="false">F202*G202*(1-H202)</f>
        <v>1395.3</v>
      </c>
      <c r="J202" s="4" t="s">
        <v>15</v>
      </c>
      <c r="K202" s="5" t="n">
        <f aca="false">VLOOKUP(D202,Products!$A$2:$E$26,4,FALSE())</f>
        <v>39.86</v>
      </c>
      <c r="L202" s="6" t="n">
        <f aca="false">(I202-F202*K202)/I202</f>
        <v>0.571490002150075</v>
      </c>
    </row>
    <row r="203" customFormat="false" ht="15" hidden="false" customHeight="false" outlineLevel="0" collapsed="false">
      <c r="A203" s="0" t="n">
        <v>10199</v>
      </c>
      <c r="B203" s="3" t="n">
        <v>45443</v>
      </c>
      <c r="C203" s="0" t="n">
        <v>48</v>
      </c>
      <c r="D203" s="4" t="s">
        <v>30</v>
      </c>
      <c r="E203" s="4" t="s">
        <v>24</v>
      </c>
      <c r="F203" s="0" t="n">
        <v>37</v>
      </c>
      <c r="G203" s="5" t="n">
        <v>206.63</v>
      </c>
      <c r="H203" s="6" t="n">
        <v>0.15</v>
      </c>
      <c r="I203" s="5" t="n">
        <f aca="false">F203*G203*(1-H203)</f>
        <v>6498.5135</v>
      </c>
      <c r="J203" s="4" t="s">
        <v>18</v>
      </c>
      <c r="K203" s="5" t="n">
        <f aca="false">VLOOKUP(D203,Products!$A$2:$E$26,4,FALSE())</f>
        <v>97.8</v>
      </c>
      <c r="L203" s="6" t="n">
        <f aca="false">(I203-F203*K203)/I203</f>
        <v>0.443164963802876</v>
      </c>
    </row>
    <row r="204" customFormat="false" ht="15" hidden="false" customHeight="false" outlineLevel="0" collapsed="false">
      <c r="A204" s="0" t="n">
        <v>10200</v>
      </c>
      <c r="B204" s="3" t="n">
        <v>45558</v>
      </c>
      <c r="C204" s="0" t="n">
        <v>77</v>
      </c>
      <c r="D204" s="4" t="s">
        <v>43</v>
      </c>
      <c r="E204" s="4" t="s">
        <v>24</v>
      </c>
      <c r="F204" s="0" t="n">
        <v>31</v>
      </c>
      <c r="G204" s="5" t="n">
        <v>218.16</v>
      </c>
      <c r="H204" s="6" t="n">
        <v>0</v>
      </c>
      <c r="I204" s="5" t="n">
        <f aca="false">F204*G204*(1-H204)</f>
        <v>6762.96</v>
      </c>
      <c r="J204" s="4" t="s">
        <v>28</v>
      </c>
      <c r="K204" s="5" t="n">
        <f aca="false">VLOOKUP(D204,Products!$A$2:$E$26,4,FALSE())</f>
        <v>126.91</v>
      </c>
      <c r="L204" s="6" t="n">
        <f aca="false">(I204-F204*K204)/I204</f>
        <v>0.418270993766043</v>
      </c>
    </row>
    <row r="205" customFormat="false" ht="15" hidden="false" customHeight="false" outlineLevel="0" collapsed="false">
      <c r="A205" s="0" t="n">
        <v>10201</v>
      </c>
      <c r="B205" s="3" t="n">
        <v>45412</v>
      </c>
      <c r="C205" s="0" t="n">
        <v>76</v>
      </c>
      <c r="D205" s="4" t="s">
        <v>46</v>
      </c>
      <c r="E205" s="4" t="s">
        <v>24</v>
      </c>
      <c r="F205" s="0" t="n">
        <v>1</v>
      </c>
      <c r="G205" s="5" t="n">
        <v>319.87</v>
      </c>
      <c r="H205" s="6" t="n">
        <v>0</v>
      </c>
      <c r="I205" s="5" t="n">
        <f aca="false">F205*G205*(1-H205)</f>
        <v>319.87</v>
      </c>
      <c r="J205" s="4" t="s">
        <v>15</v>
      </c>
      <c r="K205" s="5" t="n">
        <f aca="false">VLOOKUP(D205,Products!$A$2:$E$26,4,FALSE())</f>
        <v>219.79</v>
      </c>
      <c r="L205" s="6" t="n">
        <f aca="false">(I205-F205*K205)/I205</f>
        <v>0.312877106324444</v>
      </c>
    </row>
    <row r="206" customFormat="false" ht="15" hidden="false" customHeight="false" outlineLevel="0" collapsed="false">
      <c r="A206" s="0" t="n">
        <v>10202</v>
      </c>
      <c r="B206" s="3" t="n">
        <v>45313</v>
      </c>
      <c r="C206" s="0" t="n">
        <v>4</v>
      </c>
      <c r="D206" s="4" t="s">
        <v>32</v>
      </c>
      <c r="E206" s="4" t="s">
        <v>21</v>
      </c>
      <c r="F206" s="0" t="n">
        <v>18</v>
      </c>
      <c r="G206" s="5" t="n">
        <v>353.12</v>
      </c>
      <c r="H206" s="6" t="n">
        <v>0</v>
      </c>
      <c r="I206" s="5" t="n">
        <f aca="false">F206*G206*(1-H206)</f>
        <v>6356.16</v>
      </c>
      <c r="J206" s="4" t="s">
        <v>15</v>
      </c>
      <c r="K206" s="5" t="n">
        <f aca="false">VLOOKUP(D206,Products!$A$2:$E$26,4,FALSE())</f>
        <v>144.3</v>
      </c>
      <c r="L206" s="6" t="n">
        <f aca="false">(I206-F206*K206)/I206</f>
        <v>0.59135704576348</v>
      </c>
    </row>
    <row r="207" customFormat="false" ht="15" hidden="false" customHeight="false" outlineLevel="0" collapsed="false">
      <c r="A207" s="0" t="n">
        <v>10203</v>
      </c>
      <c r="B207" s="3" t="n">
        <v>45415</v>
      </c>
      <c r="C207" s="0" t="n">
        <v>19</v>
      </c>
      <c r="D207" s="4" t="s">
        <v>22</v>
      </c>
      <c r="E207" s="4" t="s">
        <v>24</v>
      </c>
      <c r="F207" s="0" t="n">
        <v>22</v>
      </c>
      <c r="G207" s="5" t="n">
        <v>50.89</v>
      </c>
      <c r="H207" s="6" t="n">
        <v>0.05</v>
      </c>
      <c r="I207" s="5" t="n">
        <f aca="false">F207*G207*(1-H207)</f>
        <v>1063.601</v>
      </c>
      <c r="J207" s="4" t="s">
        <v>15</v>
      </c>
      <c r="K207" s="5" t="n">
        <f aca="false">VLOOKUP(D207,Products!$A$2:$E$26,4,FALSE())</f>
        <v>26.06</v>
      </c>
      <c r="L207" s="6" t="n">
        <f aca="false">(I207-F207*K207)/I207</f>
        <v>0.46096327476187</v>
      </c>
    </row>
    <row r="208" customFormat="false" ht="15" hidden="false" customHeight="false" outlineLevel="0" collapsed="false">
      <c r="A208" s="0" t="n">
        <v>10204</v>
      </c>
      <c r="B208" s="3" t="n">
        <v>45310</v>
      </c>
      <c r="C208" s="0" t="n">
        <v>54</v>
      </c>
      <c r="D208" s="4" t="s">
        <v>27</v>
      </c>
      <c r="E208" s="4" t="s">
        <v>21</v>
      </c>
      <c r="F208" s="0" t="n">
        <v>21</v>
      </c>
      <c r="G208" s="5" t="n">
        <v>113.93</v>
      </c>
      <c r="H208" s="6" t="n">
        <v>0</v>
      </c>
      <c r="I208" s="5" t="n">
        <f aca="false">F208*G208*(1-H208)</f>
        <v>2392.53</v>
      </c>
      <c r="J208" s="4" t="s">
        <v>15</v>
      </c>
      <c r="K208" s="5" t="n">
        <f aca="false">VLOOKUP(D208,Products!$A$2:$E$26,4,FALSE())</f>
        <v>45.07</v>
      </c>
      <c r="L208" s="6" t="n">
        <f aca="false">(I208-F208*K208)/I208</f>
        <v>0.60440621434214</v>
      </c>
    </row>
    <row r="209" customFormat="false" ht="15" hidden="false" customHeight="false" outlineLevel="0" collapsed="false">
      <c r="A209" s="0" t="n">
        <v>10205</v>
      </c>
      <c r="B209" s="3" t="n">
        <v>45651</v>
      </c>
      <c r="C209" s="0" t="n">
        <v>52</v>
      </c>
      <c r="D209" s="4" t="s">
        <v>19</v>
      </c>
      <c r="E209" s="4" t="s">
        <v>14</v>
      </c>
      <c r="F209" s="0" t="n">
        <v>22</v>
      </c>
      <c r="G209" s="5" t="n">
        <v>222.24</v>
      </c>
      <c r="H209" s="6" t="n">
        <v>0</v>
      </c>
      <c r="I209" s="5" t="n">
        <f aca="false">F209*G209*(1-H209)</f>
        <v>4889.28</v>
      </c>
      <c r="J209" s="4" t="s">
        <v>15</v>
      </c>
      <c r="K209" s="5" t="n">
        <f aca="false">VLOOKUP(D209,Products!$A$2:$E$26,4,FALSE())</f>
        <v>83.93</v>
      </c>
      <c r="L209" s="6" t="n">
        <f aca="false">(I209-F209*K209)/I209</f>
        <v>0.622345212383009</v>
      </c>
    </row>
    <row r="210" customFormat="false" ht="15" hidden="false" customHeight="false" outlineLevel="0" collapsed="false">
      <c r="A210" s="0" t="n">
        <v>10206</v>
      </c>
      <c r="B210" s="3" t="n">
        <v>45414</v>
      </c>
      <c r="C210" s="0" t="n">
        <v>30</v>
      </c>
      <c r="D210" s="4" t="s">
        <v>30</v>
      </c>
      <c r="E210" s="4" t="s">
        <v>21</v>
      </c>
      <c r="F210" s="0" t="n">
        <v>32</v>
      </c>
      <c r="G210" s="5" t="n">
        <v>207.11</v>
      </c>
      <c r="H210" s="6" t="n">
        <v>0.05</v>
      </c>
      <c r="I210" s="5" t="n">
        <f aca="false">F210*G210*(1-H210)</f>
        <v>6296.144</v>
      </c>
      <c r="J210" s="4" t="s">
        <v>15</v>
      </c>
      <c r="K210" s="5" t="n">
        <f aca="false">VLOOKUP(D210,Products!$A$2:$E$26,4,FALSE())</f>
        <v>97.8</v>
      </c>
      <c r="L210" s="6" t="n">
        <f aca="false">(I210-F210*K210)/I210</f>
        <v>0.502933859200171</v>
      </c>
    </row>
    <row r="211" customFormat="false" ht="15" hidden="false" customHeight="false" outlineLevel="0" collapsed="false">
      <c r="A211" s="0" t="n">
        <v>10207</v>
      </c>
      <c r="B211" s="3" t="n">
        <v>45524</v>
      </c>
      <c r="C211" s="0" t="n">
        <v>46</v>
      </c>
      <c r="D211" s="4" t="s">
        <v>30</v>
      </c>
      <c r="E211" s="4" t="s">
        <v>24</v>
      </c>
      <c r="F211" s="0" t="n">
        <v>10</v>
      </c>
      <c r="G211" s="5" t="n">
        <v>218.22</v>
      </c>
      <c r="H211" s="6" t="n">
        <v>0</v>
      </c>
      <c r="I211" s="5" t="n">
        <f aca="false">F211*G211*(1-H211)</f>
        <v>2182.2</v>
      </c>
      <c r="J211" s="4" t="s">
        <v>28</v>
      </c>
      <c r="K211" s="5" t="n">
        <f aca="false">VLOOKUP(D211,Products!$A$2:$E$26,4,FALSE())</f>
        <v>97.8</v>
      </c>
      <c r="L211" s="6" t="n">
        <f aca="false">(I211-F211*K211)/I211</f>
        <v>0.551828430024746</v>
      </c>
    </row>
    <row r="212" customFormat="false" ht="15" hidden="false" customHeight="false" outlineLevel="0" collapsed="false">
      <c r="A212" s="0" t="n">
        <v>10208</v>
      </c>
      <c r="B212" s="3" t="n">
        <v>45470</v>
      </c>
      <c r="C212" s="0" t="n">
        <v>57</v>
      </c>
      <c r="D212" s="4" t="s">
        <v>43</v>
      </c>
      <c r="E212" s="4" t="s">
        <v>14</v>
      </c>
      <c r="F212" s="0" t="n">
        <v>29</v>
      </c>
      <c r="G212" s="5" t="n">
        <v>209.12</v>
      </c>
      <c r="H212" s="6" t="n">
        <v>0</v>
      </c>
      <c r="I212" s="5" t="n">
        <f aca="false">F212*G212*(1-H212)</f>
        <v>6064.48</v>
      </c>
      <c r="J212" s="4" t="s">
        <v>18</v>
      </c>
      <c r="K212" s="5" t="n">
        <f aca="false">VLOOKUP(D212,Products!$A$2:$E$26,4,FALSE())</f>
        <v>126.91</v>
      </c>
      <c r="L212" s="6" t="n">
        <f aca="false">(I212-F212*K212)/I212</f>
        <v>0.393123565416986</v>
      </c>
    </row>
    <row r="213" customFormat="false" ht="15" hidden="false" customHeight="false" outlineLevel="0" collapsed="false">
      <c r="A213" s="0" t="n">
        <v>10209</v>
      </c>
      <c r="B213" s="3" t="n">
        <v>45502</v>
      </c>
      <c r="C213" s="0" t="n">
        <v>52</v>
      </c>
      <c r="D213" s="4" t="s">
        <v>46</v>
      </c>
      <c r="E213" s="4" t="s">
        <v>20</v>
      </c>
      <c r="F213" s="0" t="n">
        <v>26</v>
      </c>
      <c r="G213" s="5" t="n">
        <v>308.29</v>
      </c>
      <c r="H213" s="6" t="n">
        <v>0</v>
      </c>
      <c r="I213" s="5" t="n">
        <f aca="false">F213*G213*(1-H213)</f>
        <v>8015.54</v>
      </c>
      <c r="J213" s="4" t="s">
        <v>15</v>
      </c>
      <c r="K213" s="5" t="n">
        <f aca="false">VLOOKUP(D213,Products!$A$2:$E$26,4,FALSE())</f>
        <v>219.79</v>
      </c>
      <c r="L213" s="6" t="n">
        <f aca="false">(I213-F213*K213)/I213</f>
        <v>0.287067371630608</v>
      </c>
    </row>
    <row r="214" customFormat="false" ht="15" hidden="false" customHeight="false" outlineLevel="0" collapsed="false">
      <c r="A214" s="0" t="n">
        <v>10210</v>
      </c>
      <c r="B214" s="3" t="n">
        <v>45638</v>
      </c>
      <c r="C214" s="0" t="n">
        <v>24</v>
      </c>
      <c r="D214" s="4" t="s">
        <v>29</v>
      </c>
      <c r="E214" s="4" t="s">
        <v>24</v>
      </c>
      <c r="F214" s="0" t="n">
        <v>24</v>
      </c>
      <c r="G214" s="5" t="n">
        <v>78.46</v>
      </c>
      <c r="H214" s="6" t="n">
        <v>0.1</v>
      </c>
      <c r="I214" s="5" t="n">
        <f aca="false">F214*G214*(1-H214)</f>
        <v>1694.736</v>
      </c>
      <c r="J214" s="4" t="s">
        <v>15</v>
      </c>
      <c r="K214" s="5" t="n">
        <f aca="false">VLOOKUP(D214,Products!$A$2:$E$26,4,FALSE())</f>
        <v>38.68</v>
      </c>
      <c r="L214" s="6" t="n">
        <f aca="false">(I214-F214*K214)/I214</f>
        <v>0.452233268190444</v>
      </c>
    </row>
    <row r="215" customFormat="false" ht="15" hidden="false" customHeight="false" outlineLevel="0" collapsed="false">
      <c r="A215" s="0" t="n">
        <v>10211</v>
      </c>
      <c r="B215" s="3" t="n">
        <v>45556</v>
      </c>
      <c r="C215" s="0" t="n">
        <v>24</v>
      </c>
      <c r="D215" s="4" t="s">
        <v>38</v>
      </c>
      <c r="E215" s="4" t="s">
        <v>21</v>
      </c>
      <c r="F215" s="0" t="n">
        <v>13</v>
      </c>
      <c r="G215" s="5" t="n">
        <v>166.54</v>
      </c>
      <c r="H215" s="6" t="n">
        <v>0</v>
      </c>
      <c r="I215" s="5" t="n">
        <f aca="false">F215*G215*(1-H215)</f>
        <v>2165.02</v>
      </c>
      <c r="J215" s="4" t="s">
        <v>15</v>
      </c>
      <c r="K215" s="5" t="n">
        <f aca="false">VLOOKUP(D215,Products!$A$2:$E$26,4,FALSE())</f>
        <v>107.25</v>
      </c>
      <c r="L215" s="6" t="n">
        <f aca="false">(I215-F215*K215)/I215</f>
        <v>0.356010568031704</v>
      </c>
    </row>
    <row r="216" customFormat="false" ht="15" hidden="false" customHeight="false" outlineLevel="0" collapsed="false">
      <c r="A216" s="0" t="n">
        <v>10212</v>
      </c>
      <c r="B216" s="3" t="n">
        <v>45375</v>
      </c>
      <c r="C216" s="0" t="n">
        <v>3</v>
      </c>
      <c r="D216" s="4" t="s">
        <v>32</v>
      </c>
      <c r="E216" s="4" t="s">
        <v>14</v>
      </c>
      <c r="F216" s="0" t="n">
        <v>24</v>
      </c>
      <c r="G216" s="5" t="n">
        <v>374.54</v>
      </c>
      <c r="H216" s="6" t="n">
        <v>0.1</v>
      </c>
      <c r="I216" s="5" t="n">
        <f aca="false">F216*G216*(1-H216)</f>
        <v>8090.064</v>
      </c>
      <c r="J216" s="4" t="s">
        <v>18</v>
      </c>
      <c r="K216" s="5" t="n">
        <f aca="false">VLOOKUP(D216,Products!$A$2:$E$26,4,FALSE())</f>
        <v>144.3</v>
      </c>
      <c r="L216" s="6" t="n">
        <f aca="false">(I216-F216*K216)/I216</f>
        <v>0.571919332158559</v>
      </c>
    </row>
    <row r="217" customFormat="false" ht="15" hidden="false" customHeight="false" outlineLevel="0" collapsed="false">
      <c r="A217" s="0" t="n">
        <v>10213</v>
      </c>
      <c r="B217" s="3" t="n">
        <v>45404</v>
      </c>
      <c r="C217" s="0" t="n">
        <v>41</v>
      </c>
      <c r="D217" s="4" t="s">
        <v>30</v>
      </c>
      <c r="E217" s="4" t="s">
        <v>24</v>
      </c>
      <c r="F217" s="0" t="n">
        <v>6</v>
      </c>
      <c r="G217" s="5" t="n">
        <v>204.9</v>
      </c>
      <c r="H217" s="6" t="n">
        <v>0</v>
      </c>
      <c r="I217" s="5" t="n">
        <f aca="false">F217*G217*(1-H217)</f>
        <v>1229.4</v>
      </c>
      <c r="J217" s="4" t="s">
        <v>15</v>
      </c>
      <c r="K217" s="5" t="n">
        <f aca="false">VLOOKUP(D217,Products!$A$2:$E$26,4,FALSE())</f>
        <v>97.8</v>
      </c>
      <c r="L217" s="6" t="n">
        <f aca="false">(I217-F217*K217)/I217</f>
        <v>0.522693997071742</v>
      </c>
    </row>
    <row r="218" customFormat="false" ht="15" hidden="false" customHeight="false" outlineLevel="0" collapsed="false">
      <c r="A218" s="0" t="n">
        <v>10214</v>
      </c>
      <c r="B218" s="3" t="n">
        <v>45568</v>
      </c>
      <c r="C218" s="0" t="n">
        <v>12</v>
      </c>
      <c r="D218" s="4" t="s">
        <v>38</v>
      </c>
      <c r="E218" s="4" t="s">
        <v>21</v>
      </c>
      <c r="F218" s="0" t="n">
        <v>39</v>
      </c>
      <c r="G218" s="5" t="n">
        <v>169.6</v>
      </c>
      <c r="H218" s="6" t="n">
        <v>0.05</v>
      </c>
      <c r="I218" s="5" t="n">
        <f aca="false">F218*G218*(1-H218)</f>
        <v>6283.68</v>
      </c>
      <c r="J218" s="4" t="s">
        <v>18</v>
      </c>
      <c r="K218" s="5" t="n">
        <f aca="false">VLOOKUP(D218,Products!$A$2:$E$26,4,FALSE())</f>
        <v>107.25</v>
      </c>
      <c r="L218" s="6" t="n">
        <f aca="false">(I218-F218*K218)/I218</f>
        <v>0.334347070506455</v>
      </c>
    </row>
    <row r="219" customFormat="false" ht="15" hidden="false" customHeight="false" outlineLevel="0" collapsed="false">
      <c r="A219" s="0" t="n">
        <v>10215</v>
      </c>
      <c r="B219" s="3" t="n">
        <v>45652</v>
      </c>
      <c r="C219" s="0" t="n">
        <v>24</v>
      </c>
      <c r="D219" s="4" t="s">
        <v>22</v>
      </c>
      <c r="E219" s="4" t="s">
        <v>20</v>
      </c>
      <c r="F219" s="0" t="n">
        <v>25</v>
      </c>
      <c r="G219" s="5" t="n">
        <v>51.89</v>
      </c>
      <c r="H219" s="6" t="n">
        <v>0</v>
      </c>
      <c r="I219" s="5" t="n">
        <f aca="false">F219*G219*(1-H219)</f>
        <v>1297.25</v>
      </c>
      <c r="J219" s="4" t="s">
        <v>18</v>
      </c>
      <c r="K219" s="5" t="n">
        <f aca="false">VLOOKUP(D219,Products!$A$2:$E$26,4,FALSE())</f>
        <v>26.06</v>
      </c>
      <c r="L219" s="6" t="n">
        <f aca="false">(I219-F219*K219)/I219</f>
        <v>0.497783773366737</v>
      </c>
    </row>
    <row r="220" customFormat="false" ht="15" hidden="false" customHeight="false" outlineLevel="0" collapsed="false">
      <c r="A220" s="0" t="n">
        <v>10216</v>
      </c>
      <c r="B220" s="3" t="n">
        <v>45307</v>
      </c>
      <c r="C220" s="0" t="n">
        <v>14</v>
      </c>
      <c r="D220" s="4" t="s">
        <v>46</v>
      </c>
      <c r="E220" s="4" t="s">
        <v>21</v>
      </c>
      <c r="F220" s="0" t="n">
        <v>32</v>
      </c>
      <c r="G220" s="5" t="n">
        <v>317.05</v>
      </c>
      <c r="H220" s="6" t="n">
        <v>0</v>
      </c>
      <c r="I220" s="5" t="n">
        <f aca="false">F220*G220*(1-H220)</f>
        <v>10145.6</v>
      </c>
      <c r="J220" s="4" t="s">
        <v>15</v>
      </c>
      <c r="K220" s="5" t="n">
        <f aca="false">VLOOKUP(D220,Products!$A$2:$E$26,4,FALSE())</f>
        <v>219.79</v>
      </c>
      <c r="L220" s="6" t="n">
        <f aca="false">(I220-F220*K220)/I220</f>
        <v>0.306765494401514</v>
      </c>
    </row>
    <row r="221" customFormat="false" ht="15" hidden="false" customHeight="false" outlineLevel="0" collapsed="false">
      <c r="A221" s="0" t="n">
        <v>10217</v>
      </c>
      <c r="B221" s="3" t="n">
        <v>45361</v>
      </c>
      <c r="C221" s="0" t="n">
        <v>2</v>
      </c>
      <c r="D221" s="4" t="s">
        <v>34</v>
      </c>
      <c r="E221" s="4" t="s">
        <v>14</v>
      </c>
      <c r="F221" s="0" t="n">
        <v>15</v>
      </c>
      <c r="G221" s="5" t="n">
        <v>22.11</v>
      </c>
      <c r="H221" s="6" t="n">
        <v>0</v>
      </c>
      <c r="I221" s="5" t="n">
        <f aca="false">F221*G221*(1-H221)</f>
        <v>331.65</v>
      </c>
      <c r="J221" s="4" t="s">
        <v>15</v>
      </c>
      <c r="K221" s="5" t="n">
        <f aca="false">VLOOKUP(D221,Products!$A$2:$E$26,4,FALSE())</f>
        <v>14.34</v>
      </c>
      <c r="L221" s="6" t="n">
        <f aca="false">(I221-F221*K221)/I221</f>
        <v>0.351424694708277</v>
      </c>
    </row>
    <row r="222" customFormat="false" ht="15" hidden="false" customHeight="false" outlineLevel="0" collapsed="false">
      <c r="A222" s="0" t="n">
        <v>10218</v>
      </c>
      <c r="B222" s="3" t="n">
        <v>45401</v>
      </c>
      <c r="C222" s="0" t="n">
        <v>31</v>
      </c>
      <c r="D222" s="4" t="s">
        <v>32</v>
      </c>
      <c r="E222" s="4" t="s">
        <v>20</v>
      </c>
      <c r="F222" s="0" t="n">
        <v>22</v>
      </c>
      <c r="G222" s="5" t="n">
        <v>366.39</v>
      </c>
      <c r="H222" s="6" t="n">
        <v>0</v>
      </c>
      <c r="I222" s="5" t="n">
        <f aca="false">F222*G222*(1-H222)</f>
        <v>8060.58</v>
      </c>
      <c r="J222" s="4" t="s">
        <v>15</v>
      </c>
      <c r="K222" s="5" t="n">
        <f aca="false">VLOOKUP(D222,Products!$A$2:$E$26,4,FALSE())</f>
        <v>144.3</v>
      </c>
      <c r="L222" s="6" t="n">
        <f aca="false">(I222-F222*K222)/I222</f>
        <v>0.606157373290756</v>
      </c>
    </row>
    <row r="223" customFormat="false" ht="15" hidden="false" customHeight="false" outlineLevel="0" collapsed="false">
      <c r="A223" s="0" t="n">
        <v>10219</v>
      </c>
      <c r="B223" s="3" t="n">
        <v>45514</v>
      </c>
      <c r="C223" s="0" t="n">
        <v>41</v>
      </c>
      <c r="D223" s="4" t="s">
        <v>29</v>
      </c>
      <c r="E223" s="4" t="s">
        <v>24</v>
      </c>
      <c r="F223" s="0" t="n">
        <v>28</v>
      </c>
      <c r="G223" s="5" t="n">
        <v>77.53</v>
      </c>
      <c r="H223" s="6" t="n">
        <v>0.1</v>
      </c>
      <c r="I223" s="5" t="n">
        <f aca="false">F223*G223*(1-H223)</f>
        <v>1953.756</v>
      </c>
      <c r="J223" s="4" t="s">
        <v>28</v>
      </c>
      <c r="K223" s="5" t="n">
        <f aca="false">VLOOKUP(D223,Products!$A$2:$E$26,4,FALSE())</f>
        <v>38.68</v>
      </c>
      <c r="L223" s="6" t="n">
        <f aca="false">(I223-F223*K223)/I223</f>
        <v>0.445662610888975</v>
      </c>
    </row>
    <row r="224" customFormat="false" ht="15" hidden="false" customHeight="false" outlineLevel="0" collapsed="false">
      <c r="A224" s="0" t="n">
        <v>10220</v>
      </c>
      <c r="B224" s="3" t="n">
        <v>45340</v>
      </c>
      <c r="C224" s="0" t="n">
        <v>58</v>
      </c>
      <c r="D224" s="4" t="s">
        <v>43</v>
      </c>
      <c r="E224" s="4" t="s">
        <v>24</v>
      </c>
      <c r="F224" s="0" t="n">
        <v>3</v>
      </c>
      <c r="G224" s="5" t="n">
        <v>221.75</v>
      </c>
      <c r="H224" s="6" t="n">
        <v>0</v>
      </c>
      <c r="I224" s="5" t="n">
        <f aca="false">F224*G224*(1-H224)</f>
        <v>665.25</v>
      </c>
      <c r="J224" s="4" t="s">
        <v>15</v>
      </c>
      <c r="K224" s="5" t="n">
        <f aca="false">VLOOKUP(D224,Products!$A$2:$E$26,4,FALSE())</f>
        <v>126.91</v>
      </c>
      <c r="L224" s="6" t="n">
        <f aca="false">(I224-F224*K224)/I224</f>
        <v>0.427688838782413</v>
      </c>
    </row>
    <row r="225" customFormat="false" ht="15" hidden="false" customHeight="false" outlineLevel="0" collapsed="false">
      <c r="A225" s="0" t="n">
        <v>10221</v>
      </c>
      <c r="B225" s="3" t="n">
        <v>45641</v>
      </c>
      <c r="C225" s="0" t="n">
        <v>17</v>
      </c>
      <c r="D225" s="4" t="s">
        <v>41</v>
      </c>
      <c r="E225" s="4" t="s">
        <v>21</v>
      </c>
      <c r="F225" s="0" t="n">
        <v>4</v>
      </c>
      <c r="G225" s="5" t="n">
        <v>25.26</v>
      </c>
      <c r="H225" s="6" t="n">
        <v>0</v>
      </c>
      <c r="I225" s="5" t="n">
        <f aca="false">F225*G225*(1-H225)</f>
        <v>101.04</v>
      </c>
      <c r="J225" s="4" t="s">
        <v>15</v>
      </c>
      <c r="K225" s="5" t="n">
        <f aca="false">VLOOKUP(D225,Products!$A$2:$E$26,4,FALSE())</f>
        <v>12.46</v>
      </c>
      <c r="L225" s="6" t="n">
        <f aca="false">(I225-F225*K225)/I225</f>
        <v>0.506730007917656</v>
      </c>
    </row>
    <row r="226" customFormat="false" ht="15" hidden="false" customHeight="false" outlineLevel="0" collapsed="false">
      <c r="A226" s="0" t="n">
        <v>10222</v>
      </c>
      <c r="B226" s="3" t="n">
        <v>45529</v>
      </c>
      <c r="C226" s="0" t="n">
        <v>79</v>
      </c>
      <c r="D226" s="4" t="s">
        <v>32</v>
      </c>
      <c r="E226" s="4" t="s">
        <v>20</v>
      </c>
      <c r="F226" s="0" t="n">
        <v>12</v>
      </c>
      <c r="G226" s="5" t="n">
        <v>372.21</v>
      </c>
      <c r="H226" s="6" t="n">
        <v>0</v>
      </c>
      <c r="I226" s="5" t="n">
        <f aca="false">F226*G226*(1-H226)</f>
        <v>4466.52</v>
      </c>
      <c r="J226" s="4" t="s">
        <v>15</v>
      </c>
      <c r="K226" s="5" t="n">
        <f aca="false">VLOOKUP(D226,Products!$A$2:$E$26,4,FALSE())</f>
        <v>144.3</v>
      </c>
      <c r="L226" s="6" t="n">
        <f aca="false">(I226-F226*K226)/I226</f>
        <v>0.612315628274361</v>
      </c>
    </row>
    <row r="227" customFormat="false" ht="15" hidden="false" customHeight="false" outlineLevel="0" collapsed="false">
      <c r="A227" s="0" t="n">
        <v>10223</v>
      </c>
      <c r="B227" s="3" t="n">
        <v>45402</v>
      </c>
      <c r="C227" s="0" t="n">
        <v>25</v>
      </c>
      <c r="D227" s="4" t="s">
        <v>36</v>
      </c>
      <c r="E227" s="4" t="s">
        <v>20</v>
      </c>
      <c r="F227" s="0" t="n">
        <v>40</v>
      </c>
      <c r="G227" s="5" t="n">
        <v>51.66</v>
      </c>
      <c r="H227" s="6" t="n">
        <v>0.1</v>
      </c>
      <c r="I227" s="5" t="n">
        <f aca="false">F227*G227*(1-H227)</f>
        <v>1859.76</v>
      </c>
      <c r="J227" s="4" t="s">
        <v>15</v>
      </c>
      <c r="K227" s="5" t="n">
        <f aca="false">VLOOKUP(D227,Products!$A$2:$E$26,4,FALSE())</f>
        <v>23.74</v>
      </c>
      <c r="L227" s="6" t="n">
        <f aca="false">(I227-F227*K227)/I227</f>
        <v>0.4893964812664</v>
      </c>
    </row>
    <row r="228" customFormat="false" ht="15" hidden="false" customHeight="false" outlineLevel="0" collapsed="false">
      <c r="A228" s="0" t="n">
        <v>10224</v>
      </c>
      <c r="B228" s="3" t="n">
        <v>45623</v>
      </c>
      <c r="C228" s="0" t="n">
        <v>48</v>
      </c>
      <c r="D228" s="4" t="s">
        <v>41</v>
      </c>
      <c r="E228" s="4" t="s">
        <v>14</v>
      </c>
      <c r="F228" s="0" t="n">
        <v>8</v>
      </c>
      <c r="G228" s="5" t="n">
        <v>27.55</v>
      </c>
      <c r="H228" s="6" t="n">
        <v>0</v>
      </c>
      <c r="I228" s="5" t="n">
        <f aca="false">F228*G228*(1-H228)</f>
        <v>220.4</v>
      </c>
      <c r="J228" s="4" t="s">
        <v>15</v>
      </c>
      <c r="K228" s="5" t="n">
        <f aca="false">VLOOKUP(D228,Products!$A$2:$E$26,4,FALSE())</f>
        <v>12.46</v>
      </c>
      <c r="L228" s="6" t="n">
        <f aca="false">(I228-F228*K228)/I228</f>
        <v>0.547731397459165</v>
      </c>
    </row>
    <row r="229" customFormat="false" ht="15" hidden="false" customHeight="false" outlineLevel="0" collapsed="false">
      <c r="A229" s="0" t="n">
        <v>10225</v>
      </c>
      <c r="B229" s="3" t="n">
        <v>45511</v>
      </c>
      <c r="C229" s="0" t="n">
        <v>3</v>
      </c>
      <c r="D229" s="4" t="s">
        <v>17</v>
      </c>
      <c r="E229" s="4" t="s">
        <v>14</v>
      </c>
      <c r="F229" s="0" t="n">
        <v>35</v>
      </c>
      <c r="G229" s="5" t="n">
        <v>91.16</v>
      </c>
      <c r="H229" s="6" t="n">
        <v>0</v>
      </c>
      <c r="I229" s="5" t="n">
        <f aca="false">F229*G229*(1-H229)</f>
        <v>3190.6</v>
      </c>
      <c r="J229" s="4" t="s">
        <v>15</v>
      </c>
      <c r="K229" s="5" t="n">
        <f aca="false">VLOOKUP(D229,Products!$A$2:$E$26,4,FALSE())</f>
        <v>38.24</v>
      </c>
      <c r="L229" s="6" t="n">
        <f aca="false">(I229-F229*K229)/I229</f>
        <v>0.580517770952172</v>
      </c>
    </row>
    <row r="230" customFormat="false" ht="15" hidden="false" customHeight="false" outlineLevel="0" collapsed="false">
      <c r="A230" s="0" t="n">
        <v>10226</v>
      </c>
      <c r="B230" s="3" t="n">
        <v>45471</v>
      </c>
      <c r="C230" s="0" t="n">
        <v>19</v>
      </c>
      <c r="D230" s="4" t="s">
        <v>44</v>
      </c>
      <c r="E230" s="4" t="s">
        <v>21</v>
      </c>
      <c r="F230" s="0" t="n">
        <v>8</v>
      </c>
      <c r="G230" s="5" t="n">
        <v>31.95</v>
      </c>
      <c r="H230" s="6" t="n">
        <v>0</v>
      </c>
      <c r="I230" s="5" t="n">
        <f aca="false">F230*G230*(1-H230)</f>
        <v>255.6</v>
      </c>
      <c r="J230" s="4" t="s">
        <v>28</v>
      </c>
      <c r="K230" s="5" t="n">
        <f aca="false">VLOOKUP(D230,Products!$A$2:$E$26,4,FALSE())</f>
        <v>18.41</v>
      </c>
      <c r="L230" s="6" t="n">
        <f aca="false">(I230-F230*K230)/I230</f>
        <v>0.423787167449139</v>
      </c>
    </row>
    <row r="231" customFormat="false" ht="15" hidden="false" customHeight="false" outlineLevel="0" collapsed="false">
      <c r="A231" s="0" t="n">
        <v>10227</v>
      </c>
      <c r="B231" s="3" t="n">
        <v>45634</v>
      </c>
      <c r="C231" s="0" t="n">
        <v>19</v>
      </c>
      <c r="D231" s="4" t="s">
        <v>17</v>
      </c>
      <c r="E231" s="4" t="s">
        <v>24</v>
      </c>
      <c r="F231" s="0" t="n">
        <v>28</v>
      </c>
      <c r="G231" s="5" t="n">
        <v>87.85</v>
      </c>
      <c r="H231" s="6" t="n">
        <v>0.15</v>
      </c>
      <c r="I231" s="5" t="n">
        <f aca="false">F231*G231*(1-H231)</f>
        <v>2090.83</v>
      </c>
      <c r="J231" s="4" t="s">
        <v>15</v>
      </c>
      <c r="K231" s="5" t="n">
        <f aca="false">VLOOKUP(D231,Products!$A$2:$E$26,4,FALSE())</f>
        <v>38.24</v>
      </c>
      <c r="L231" s="6" t="n">
        <f aca="false">(I231-F231*K231)/I231</f>
        <v>0.487897150892229</v>
      </c>
    </row>
    <row r="232" customFormat="false" ht="15" hidden="false" customHeight="false" outlineLevel="0" collapsed="false">
      <c r="A232" s="0" t="n">
        <v>10228</v>
      </c>
      <c r="B232" s="3" t="n">
        <v>45564</v>
      </c>
      <c r="C232" s="0" t="n">
        <v>13</v>
      </c>
      <c r="D232" s="4" t="s">
        <v>46</v>
      </c>
      <c r="E232" s="4" t="s">
        <v>21</v>
      </c>
      <c r="F232" s="0" t="n">
        <v>8</v>
      </c>
      <c r="G232" s="5" t="n">
        <v>307.84</v>
      </c>
      <c r="H232" s="6" t="n">
        <v>0</v>
      </c>
      <c r="I232" s="5" t="n">
        <f aca="false">F232*G232*(1-H232)</f>
        <v>2462.72</v>
      </c>
      <c r="J232" s="4" t="s">
        <v>18</v>
      </c>
      <c r="K232" s="5" t="n">
        <f aca="false">VLOOKUP(D232,Products!$A$2:$E$26,4,FALSE())</f>
        <v>219.79</v>
      </c>
      <c r="L232" s="6" t="n">
        <f aca="false">(I232-F232*K232)/I232</f>
        <v>0.286025207900208</v>
      </c>
    </row>
    <row r="233" customFormat="false" ht="15" hidden="false" customHeight="false" outlineLevel="0" collapsed="false">
      <c r="A233" s="0" t="n">
        <v>10229</v>
      </c>
      <c r="B233" s="3" t="n">
        <v>45530</v>
      </c>
      <c r="C233" s="0" t="n">
        <v>19</v>
      </c>
      <c r="D233" s="4" t="s">
        <v>45</v>
      </c>
      <c r="E233" s="4" t="s">
        <v>14</v>
      </c>
      <c r="F233" s="0" t="n">
        <v>30</v>
      </c>
      <c r="G233" s="5" t="n">
        <v>99.64</v>
      </c>
      <c r="H233" s="6" t="n">
        <v>0.1</v>
      </c>
      <c r="I233" s="5" t="n">
        <f aca="false">F233*G233*(1-H233)</f>
        <v>2690.28</v>
      </c>
      <c r="J233" s="4" t="s">
        <v>15</v>
      </c>
      <c r="K233" s="5" t="n">
        <f aca="false">VLOOKUP(D233,Products!$A$2:$E$26,4,FALSE())</f>
        <v>41.2</v>
      </c>
      <c r="L233" s="6" t="n">
        <f aca="false">(I233-F233*K233)/I233</f>
        <v>0.540568267986975</v>
      </c>
    </row>
    <row r="234" customFormat="false" ht="15" hidden="false" customHeight="false" outlineLevel="0" collapsed="false">
      <c r="A234" s="0" t="n">
        <v>10230</v>
      </c>
      <c r="B234" s="3" t="n">
        <v>45361</v>
      </c>
      <c r="C234" s="0" t="n">
        <v>55</v>
      </c>
      <c r="D234" s="4" t="s">
        <v>32</v>
      </c>
      <c r="E234" s="4" t="s">
        <v>24</v>
      </c>
      <c r="F234" s="0" t="n">
        <v>38</v>
      </c>
      <c r="G234" s="5" t="n">
        <v>363.17</v>
      </c>
      <c r="H234" s="6" t="n">
        <v>0.1</v>
      </c>
      <c r="I234" s="5" t="n">
        <f aca="false">F234*G234*(1-H234)</f>
        <v>12420.414</v>
      </c>
      <c r="J234" s="4" t="s">
        <v>28</v>
      </c>
      <c r="K234" s="5" t="n">
        <f aca="false">VLOOKUP(D234,Products!$A$2:$E$26,4,FALSE())</f>
        <v>144.3</v>
      </c>
      <c r="L234" s="6" t="n">
        <f aca="false">(I234-F234*K234)/I234</f>
        <v>0.558517131554552</v>
      </c>
    </row>
    <row r="235" customFormat="false" ht="15" hidden="false" customHeight="false" outlineLevel="0" collapsed="false">
      <c r="A235" s="0" t="n">
        <v>10231</v>
      </c>
      <c r="B235" s="3" t="n">
        <v>45380</v>
      </c>
      <c r="C235" s="0" t="n">
        <v>33</v>
      </c>
      <c r="D235" s="4" t="s">
        <v>34</v>
      </c>
      <c r="E235" s="4" t="s">
        <v>20</v>
      </c>
      <c r="F235" s="0" t="n">
        <v>29</v>
      </c>
      <c r="G235" s="5" t="n">
        <v>22.73</v>
      </c>
      <c r="H235" s="6" t="n">
        <v>0.05</v>
      </c>
      <c r="I235" s="5" t="n">
        <f aca="false">F235*G235*(1-H235)</f>
        <v>626.2115</v>
      </c>
      <c r="J235" s="4" t="s">
        <v>28</v>
      </c>
      <c r="K235" s="5" t="n">
        <f aca="false">VLOOKUP(D235,Products!$A$2:$E$26,4,FALSE())</f>
        <v>14.34</v>
      </c>
      <c r="L235" s="6" t="n">
        <f aca="false">(I235-F235*K235)/I235</f>
        <v>0.335911269595017</v>
      </c>
    </row>
    <row r="236" customFormat="false" ht="15" hidden="false" customHeight="false" outlineLevel="0" collapsed="false">
      <c r="A236" s="0" t="n">
        <v>10232</v>
      </c>
      <c r="B236" s="3" t="n">
        <v>45339</v>
      </c>
      <c r="C236" s="0" t="n">
        <v>69</v>
      </c>
      <c r="D236" s="4" t="s">
        <v>13</v>
      </c>
      <c r="E236" s="4" t="s">
        <v>14</v>
      </c>
      <c r="F236" s="0" t="n">
        <v>3</v>
      </c>
      <c r="G236" s="5" t="n">
        <v>97.28</v>
      </c>
      <c r="H236" s="6" t="n">
        <v>0</v>
      </c>
      <c r="I236" s="5" t="n">
        <f aca="false">F236*G236*(1-H236)</f>
        <v>291.84</v>
      </c>
      <c r="J236" s="4" t="s">
        <v>15</v>
      </c>
      <c r="K236" s="5" t="n">
        <f aca="false">VLOOKUP(D236,Products!$A$2:$E$26,4,FALSE())</f>
        <v>39.86</v>
      </c>
      <c r="L236" s="6" t="n">
        <f aca="false">(I236-F236*K236)/I236</f>
        <v>0.590254934210526</v>
      </c>
    </row>
    <row r="237" customFormat="false" ht="15" hidden="false" customHeight="false" outlineLevel="0" collapsed="false">
      <c r="A237" s="0" t="n">
        <v>10233</v>
      </c>
      <c r="B237" s="3" t="n">
        <v>45653</v>
      </c>
      <c r="C237" s="0" t="n">
        <v>80</v>
      </c>
      <c r="D237" s="4" t="s">
        <v>32</v>
      </c>
      <c r="E237" s="4" t="s">
        <v>20</v>
      </c>
      <c r="F237" s="0" t="n">
        <v>27</v>
      </c>
      <c r="G237" s="5" t="n">
        <v>368</v>
      </c>
      <c r="H237" s="6" t="n">
        <v>0.15</v>
      </c>
      <c r="I237" s="5" t="n">
        <f aca="false">F237*G237*(1-H237)</f>
        <v>8445.6</v>
      </c>
      <c r="J237" s="4" t="s">
        <v>15</v>
      </c>
      <c r="K237" s="5" t="n">
        <f aca="false">VLOOKUP(D237,Products!$A$2:$E$26,4,FALSE())</f>
        <v>144.3</v>
      </c>
      <c r="L237" s="6" t="n">
        <f aca="false">(I237-F237*K237)/I237</f>
        <v>0.538682864450128</v>
      </c>
    </row>
    <row r="238" customFormat="false" ht="15" hidden="false" customHeight="false" outlineLevel="0" collapsed="false">
      <c r="A238" s="0" t="n">
        <v>10234</v>
      </c>
      <c r="B238" s="3" t="n">
        <v>45577</v>
      </c>
      <c r="C238" s="0" t="n">
        <v>2</v>
      </c>
      <c r="D238" s="4" t="s">
        <v>13</v>
      </c>
      <c r="E238" s="4" t="s">
        <v>20</v>
      </c>
      <c r="F238" s="0" t="n">
        <v>15</v>
      </c>
      <c r="G238" s="5" t="n">
        <v>92.89</v>
      </c>
      <c r="H238" s="6" t="n">
        <v>0</v>
      </c>
      <c r="I238" s="5" t="n">
        <f aca="false">F238*G238*(1-H238)</f>
        <v>1393.35</v>
      </c>
      <c r="J238" s="4" t="s">
        <v>15</v>
      </c>
      <c r="K238" s="5" t="n">
        <f aca="false">VLOOKUP(D238,Products!$A$2:$E$26,4,FALSE())</f>
        <v>39.86</v>
      </c>
      <c r="L238" s="6" t="n">
        <f aca="false">(I238-F238*K238)/I238</f>
        <v>0.570890300355259</v>
      </c>
    </row>
    <row r="239" customFormat="false" ht="15" hidden="false" customHeight="false" outlineLevel="0" collapsed="false">
      <c r="A239" s="0" t="n">
        <v>10235</v>
      </c>
      <c r="B239" s="3" t="n">
        <v>45362</v>
      </c>
      <c r="C239" s="0" t="n">
        <v>19</v>
      </c>
      <c r="D239" s="4" t="s">
        <v>27</v>
      </c>
      <c r="E239" s="4" t="s">
        <v>21</v>
      </c>
      <c r="F239" s="0" t="n">
        <v>38</v>
      </c>
      <c r="G239" s="5" t="n">
        <v>121.23</v>
      </c>
      <c r="H239" s="6" t="n">
        <v>0</v>
      </c>
      <c r="I239" s="5" t="n">
        <f aca="false">F239*G239*(1-H239)</f>
        <v>4606.74</v>
      </c>
      <c r="J239" s="4" t="s">
        <v>15</v>
      </c>
      <c r="K239" s="5" t="n">
        <f aca="false">VLOOKUP(D239,Products!$A$2:$E$26,4,FALSE())</f>
        <v>45.07</v>
      </c>
      <c r="L239" s="6" t="n">
        <f aca="false">(I239-F239*K239)/I239</f>
        <v>0.628227336467871</v>
      </c>
    </row>
    <row r="240" customFormat="false" ht="15" hidden="false" customHeight="false" outlineLevel="0" collapsed="false">
      <c r="A240" s="0" t="n">
        <v>10236</v>
      </c>
      <c r="B240" s="3" t="n">
        <v>45501</v>
      </c>
      <c r="C240" s="0" t="n">
        <v>38</v>
      </c>
      <c r="D240" s="4" t="s">
        <v>17</v>
      </c>
      <c r="E240" s="4" t="s">
        <v>14</v>
      </c>
      <c r="F240" s="0" t="n">
        <v>28</v>
      </c>
      <c r="G240" s="5" t="n">
        <v>86.52</v>
      </c>
      <c r="H240" s="6" t="n">
        <v>0</v>
      </c>
      <c r="I240" s="5" t="n">
        <f aca="false">F240*G240*(1-H240)</f>
        <v>2422.56</v>
      </c>
      <c r="J240" s="4" t="s">
        <v>28</v>
      </c>
      <c r="K240" s="5" t="n">
        <f aca="false">VLOOKUP(D240,Products!$A$2:$E$26,4,FALSE())</f>
        <v>38.24</v>
      </c>
      <c r="L240" s="6" t="n">
        <f aca="false">(I240-F240*K240)/I240</f>
        <v>0.558021266759131</v>
      </c>
    </row>
    <row r="241" customFormat="false" ht="15" hidden="false" customHeight="false" outlineLevel="0" collapsed="false">
      <c r="A241" s="0" t="n">
        <v>10237</v>
      </c>
      <c r="B241" s="3" t="n">
        <v>45343</v>
      </c>
      <c r="C241" s="0" t="n">
        <v>45</v>
      </c>
      <c r="D241" s="4" t="s">
        <v>34</v>
      </c>
      <c r="E241" s="4" t="s">
        <v>20</v>
      </c>
      <c r="F241" s="0" t="n">
        <v>1</v>
      </c>
      <c r="G241" s="5" t="n">
        <v>20.92</v>
      </c>
      <c r="H241" s="6" t="n">
        <v>0.1</v>
      </c>
      <c r="I241" s="5" t="n">
        <f aca="false">F241*G241*(1-H241)</f>
        <v>18.828</v>
      </c>
      <c r="J241" s="4" t="s">
        <v>15</v>
      </c>
      <c r="K241" s="5" t="n">
        <f aca="false">VLOOKUP(D241,Products!$A$2:$E$26,4,FALSE())</f>
        <v>14.34</v>
      </c>
      <c r="L241" s="6" t="n">
        <f aca="false">(I241-F241*K241)/I241</f>
        <v>0.238368387507967</v>
      </c>
    </row>
    <row r="242" customFormat="false" ht="15" hidden="false" customHeight="false" outlineLevel="0" collapsed="false">
      <c r="A242" s="0" t="n">
        <v>10238</v>
      </c>
      <c r="B242" s="3" t="n">
        <v>45472</v>
      </c>
      <c r="C242" s="0" t="n">
        <v>55</v>
      </c>
      <c r="D242" s="4" t="s">
        <v>41</v>
      </c>
      <c r="E242" s="4" t="s">
        <v>14</v>
      </c>
      <c r="F242" s="0" t="n">
        <v>18</v>
      </c>
      <c r="G242" s="5" t="n">
        <v>26.83</v>
      </c>
      <c r="H242" s="6" t="n">
        <v>0</v>
      </c>
      <c r="I242" s="5" t="n">
        <f aca="false">F242*G242*(1-H242)</f>
        <v>482.94</v>
      </c>
      <c r="J242" s="4" t="s">
        <v>28</v>
      </c>
      <c r="K242" s="5" t="n">
        <f aca="false">VLOOKUP(D242,Products!$A$2:$E$26,4,FALSE())</f>
        <v>12.46</v>
      </c>
      <c r="L242" s="6" t="n">
        <f aca="false">(I242-F242*K242)/I242</f>
        <v>0.535594483786806</v>
      </c>
    </row>
    <row r="243" customFormat="false" ht="15" hidden="false" customHeight="false" outlineLevel="0" collapsed="false">
      <c r="A243" s="0" t="n">
        <v>10239</v>
      </c>
      <c r="B243" s="3" t="n">
        <v>45456</v>
      </c>
      <c r="C243" s="0" t="n">
        <v>18</v>
      </c>
      <c r="D243" s="4" t="s">
        <v>46</v>
      </c>
      <c r="E243" s="4" t="s">
        <v>20</v>
      </c>
      <c r="F243" s="0" t="n">
        <v>35</v>
      </c>
      <c r="G243" s="5" t="n">
        <v>300.46</v>
      </c>
      <c r="H243" s="6" t="n">
        <v>0.15</v>
      </c>
      <c r="I243" s="5" t="n">
        <f aca="false">F243*G243*(1-H243)</f>
        <v>8938.685</v>
      </c>
      <c r="J243" s="4" t="s">
        <v>18</v>
      </c>
      <c r="K243" s="5" t="n">
        <f aca="false">VLOOKUP(D243,Products!$A$2:$E$26,4,FALSE())</f>
        <v>219.79</v>
      </c>
      <c r="L243" s="6" t="n">
        <f aca="false">(I243-F243*K243)/I243</f>
        <v>0.139398021073569</v>
      </c>
    </row>
    <row r="244" customFormat="false" ht="15" hidden="false" customHeight="false" outlineLevel="0" collapsed="false">
      <c r="A244" s="0" t="n">
        <v>10240</v>
      </c>
      <c r="B244" s="3" t="n">
        <v>45405</v>
      </c>
      <c r="C244" s="0" t="n">
        <v>65</v>
      </c>
      <c r="D244" s="4" t="s">
        <v>30</v>
      </c>
      <c r="E244" s="4" t="s">
        <v>21</v>
      </c>
      <c r="F244" s="0" t="n">
        <v>33</v>
      </c>
      <c r="G244" s="5" t="n">
        <v>222.43</v>
      </c>
      <c r="H244" s="6" t="n">
        <v>0</v>
      </c>
      <c r="I244" s="5" t="n">
        <f aca="false">F244*G244*(1-H244)</f>
        <v>7340.19</v>
      </c>
      <c r="J244" s="4" t="s">
        <v>28</v>
      </c>
      <c r="K244" s="5" t="n">
        <f aca="false">VLOOKUP(D244,Products!$A$2:$E$26,4,FALSE())</f>
        <v>97.8</v>
      </c>
      <c r="L244" s="6" t="n">
        <f aca="false">(I244-F244*K244)/I244</f>
        <v>0.560311109112979</v>
      </c>
    </row>
    <row r="245" customFormat="false" ht="15" hidden="false" customHeight="false" outlineLevel="0" collapsed="false">
      <c r="A245" s="0" t="n">
        <v>10241</v>
      </c>
      <c r="B245" s="3" t="n">
        <v>45646</v>
      </c>
      <c r="C245" s="0" t="n">
        <v>59</v>
      </c>
      <c r="D245" s="4" t="s">
        <v>42</v>
      </c>
      <c r="E245" s="4" t="s">
        <v>21</v>
      </c>
      <c r="F245" s="0" t="n">
        <v>15</v>
      </c>
      <c r="G245" s="5" t="n">
        <v>75.17</v>
      </c>
      <c r="H245" s="6" t="n">
        <v>0</v>
      </c>
      <c r="I245" s="5" t="n">
        <f aca="false">F245*G245*(1-H245)</f>
        <v>1127.55</v>
      </c>
      <c r="J245" s="4" t="s">
        <v>15</v>
      </c>
      <c r="K245" s="5" t="n">
        <f aca="false">VLOOKUP(D245,Products!$A$2:$E$26,4,FALSE())</f>
        <v>47.32</v>
      </c>
      <c r="L245" s="6" t="n">
        <f aca="false">(I245-F245*K245)/I245</f>
        <v>0.370493547957962</v>
      </c>
    </row>
    <row r="246" customFormat="false" ht="15" hidden="false" customHeight="false" outlineLevel="0" collapsed="false">
      <c r="A246" s="0" t="n">
        <v>10242</v>
      </c>
      <c r="B246" s="3" t="n">
        <v>45363</v>
      </c>
      <c r="C246" s="0" t="n">
        <v>18</v>
      </c>
      <c r="D246" s="4" t="s">
        <v>13</v>
      </c>
      <c r="E246" s="4" t="s">
        <v>20</v>
      </c>
      <c r="F246" s="0" t="n">
        <v>15</v>
      </c>
      <c r="G246" s="5" t="n">
        <v>90.38</v>
      </c>
      <c r="H246" s="6" t="n">
        <v>0</v>
      </c>
      <c r="I246" s="5" t="n">
        <f aca="false">F246*G246*(1-H246)</f>
        <v>1355.7</v>
      </c>
      <c r="J246" s="4" t="s">
        <v>15</v>
      </c>
      <c r="K246" s="5" t="n">
        <f aca="false">VLOOKUP(D246,Products!$A$2:$E$26,4,FALSE())</f>
        <v>39.86</v>
      </c>
      <c r="L246" s="6" t="n">
        <f aca="false">(I246-F246*K246)/I246</f>
        <v>0.558973224164638</v>
      </c>
    </row>
    <row r="247" customFormat="false" ht="15" hidden="false" customHeight="false" outlineLevel="0" collapsed="false">
      <c r="A247" s="0" t="n">
        <v>10243</v>
      </c>
      <c r="B247" s="3" t="n">
        <v>45540</v>
      </c>
      <c r="C247" s="0" t="n">
        <v>7</v>
      </c>
      <c r="D247" s="4" t="s">
        <v>42</v>
      </c>
      <c r="E247" s="4" t="s">
        <v>24</v>
      </c>
      <c r="F247" s="0" t="n">
        <v>38</v>
      </c>
      <c r="G247" s="5" t="n">
        <v>75.66</v>
      </c>
      <c r="H247" s="6" t="n">
        <v>0.05</v>
      </c>
      <c r="I247" s="5" t="n">
        <f aca="false">F247*G247*(1-H247)</f>
        <v>2731.326</v>
      </c>
      <c r="J247" s="4" t="s">
        <v>28</v>
      </c>
      <c r="K247" s="5" t="n">
        <f aca="false">VLOOKUP(D247,Products!$A$2:$E$26,4,FALSE())</f>
        <v>47.32</v>
      </c>
      <c r="L247" s="6" t="n">
        <f aca="false">(I247-F247*K247)/I247</f>
        <v>0.341653101826732</v>
      </c>
    </row>
    <row r="248" customFormat="false" ht="15" hidden="false" customHeight="false" outlineLevel="0" collapsed="false">
      <c r="A248" s="0" t="n">
        <v>10244</v>
      </c>
      <c r="B248" s="3" t="n">
        <v>45488</v>
      </c>
      <c r="C248" s="0" t="n">
        <v>67</v>
      </c>
      <c r="D248" s="4" t="s">
        <v>22</v>
      </c>
      <c r="E248" s="4" t="s">
        <v>20</v>
      </c>
      <c r="F248" s="0" t="n">
        <v>24</v>
      </c>
      <c r="G248" s="5" t="n">
        <v>48.08</v>
      </c>
      <c r="H248" s="6" t="n">
        <v>0</v>
      </c>
      <c r="I248" s="5" t="n">
        <f aca="false">F248*G248*(1-H248)</f>
        <v>1153.92</v>
      </c>
      <c r="J248" s="4" t="s">
        <v>15</v>
      </c>
      <c r="K248" s="5" t="n">
        <f aca="false">VLOOKUP(D248,Products!$A$2:$E$26,4,FALSE())</f>
        <v>26.06</v>
      </c>
      <c r="L248" s="6" t="n">
        <f aca="false">(I248-F248*K248)/I248</f>
        <v>0.457986688851914</v>
      </c>
    </row>
    <row r="249" customFormat="false" ht="15" hidden="false" customHeight="false" outlineLevel="0" collapsed="false">
      <c r="A249" s="0" t="n">
        <v>10245</v>
      </c>
      <c r="B249" s="3" t="n">
        <v>45333</v>
      </c>
      <c r="C249" s="0" t="n">
        <v>49</v>
      </c>
      <c r="D249" s="4" t="s">
        <v>30</v>
      </c>
      <c r="E249" s="4" t="s">
        <v>20</v>
      </c>
      <c r="F249" s="0" t="n">
        <v>4</v>
      </c>
      <c r="G249" s="5" t="n">
        <v>207.18</v>
      </c>
      <c r="H249" s="6" t="n">
        <v>0.15</v>
      </c>
      <c r="I249" s="5" t="n">
        <f aca="false">F249*G249*(1-H249)</f>
        <v>704.412</v>
      </c>
      <c r="J249" s="4" t="s">
        <v>18</v>
      </c>
      <c r="K249" s="5" t="n">
        <f aca="false">VLOOKUP(D249,Products!$A$2:$E$26,4,FALSE())</f>
        <v>97.8</v>
      </c>
      <c r="L249" s="6" t="n">
        <f aca="false">(I249-F249*K249)/I249</f>
        <v>0.444643191768454</v>
      </c>
    </row>
    <row r="250" customFormat="false" ht="15" hidden="false" customHeight="false" outlineLevel="0" collapsed="false">
      <c r="A250" s="0" t="n">
        <v>10246</v>
      </c>
      <c r="B250" s="3" t="n">
        <v>45458</v>
      </c>
      <c r="C250" s="0" t="n">
        <v>76</v>
      </c>
      <c r="D250" s="4" t="s">
        <v>34</v>
      </c>
      <c r="E250" s="4" t="s">
        <v>14</v>
      </c>
      <c r="F250" s="0" t="n">
        <v>34</v>
      </c>
      <c r="G250" s="5" t="n">
        <v>22.58</v>
      </c>
      <c r="H250" s="6" t="n">
        <v>0.1</v>
      </c>
      <c r="I250" s="5" t="n">
        <f aca="false">F250*G250*(1-H250)</f>
        <v>690.948</v>
      </c>
      <c r="J250" s="4" t="s">
        <v>15</v>
      </c>
      <c r="K250" s="5" t="n">
        <f aca="false">VLOOKUP(D250,Products!$A$2:$E$26,4,FALSE())</f>
        <v>14.34</v>
      </c>
      <c r="L250" s="6" t="n">
        <f aca="false">(I250-F250*K250)/I250</f>
        <v>0.294360791260703</v>
      </c>
    </row>
    <row r="251" customFormat="false" ht="15" hidden="false" customHeight="false" outlineLevel="0" collapsed="false">
      <c r="A251" s="0" t="n">
        <v>10247</v>
      </c>
      <c r="B251" s="3" t="n">
        <v>45372</v>
      </c>
      <c r="C251" s="0" t="n">
        <v>42</v>
      </c>
      <c r="D251" s="4" t="s">
        <v>16</v>
      </c>
      <c r="E251" s="4" t="s">
        <v>21</v>
      </c>
      <c r="F251" s="0" t="n">
        <v>10</v>
      </c>
      <c r="G251" s="5" t="n">
        <v>146.46</v>
      </c>
      <c r="H251" s="6" t="n">
        <v>0</v>
      </c>
      <c r="I251" s="5" t="n">
        <f aca="false">F251*G251*(1-H251)</f>
        <v>1464.6</v>
      </c>
      <c r="J251" s="4" t="s">
        <v>15</v>
      </c>
      <c r="K251" s="5" t="n">
        <f aca="false">VLOOKUP(D251,Products!$A$2:$E$26,4,FALSE())</f>
        <v>72.1</v>
      </c>
      <c r="L251" s="6" t="n">
        <f aca="false">(I251-F251*K251)/I251</f>
        <v>0.507715417178752</v>
      </c>
    </row>
    <row r="252" customFormat="false" ht="15" hidden="false" customHeight="false" outlineLevel="0" collapsed="false">
      <c r="A252" s="0" t="n">
        <v>10248</v>
      </c>
      <c r="B252" s="3" t="n">
        <v>45436</v>
      </c>
      <c r="C252" s="0" t="n">
        <v>44</v>
      </c>
      <c r="D252" s="4" t="s">
        <v>34</v>
      </c>
      <c r="E252" s="4" t="s">
        <v>20</v>
      </c>
      <c r="F252" s="0" t="n">
        <v>36</v>
      </c>
      <c r="G252" s="5" t="n">
        <v>21.39</v>
      </c>
      <c r="H252" s="6" t="n">
        <v>0.1</v>
      </c>
      <c r="I252" s="5" t="n">
        <f aca="false">F252*G252*(1-H252)</f>
        <v>693.036</v>
      </c>
      <c r="J252" s="4" t="s">
        <v>15</v>
      </c>
      <c r="K252" s="5" t="n">
        <f aca="false">VLOOKUP(D252,Products!$A$2:$E$26,4,FALSE())</f>
        <v>14.34</v>
      </c>
      <c r="L252" s="6" t="n">
        <f aca="false">(I252-F252*K252)/I252</f>
        <v>0.255103630980209</v>
      </c>
    </row>
    <row r="253" customFormat="false" ht="15" hidden="false" customHeight="false" outlineLevel="0" collapsed="false">
      <c r="A253" s="0" t="n">
        <v>10249</v>
      </c>
      <c r="B253" s="3" t="n">
        <v>45393</v>
      </c>
      <c r="C253" s="0" t="n">
        <v>8</v>
      </c>
      <c r="D253" s="4" t="s">
        <v>34</v>
      </c>
      <c r="E253" s="4" t="s">
        <v>24</v>
      </c>
      <c r="F253" s="0" t="n">
        <v>20</v>
      </c>
      <c r="G253" s="5" t="n">
        <v>21.63</v>
      </c>
      <c r="H253" s="6" t="n">
        <v>0.1</v>
      </c>
      <c r="I253" s="5" t="n">
        <f aca="false">F253*G253*(1-H253)</f>
        <v>389.34</v>
      </c>
      <c r="J253" s="4" t="s">
        <v>28</v>
      </c>
      <c r="K253" s="5" t="n">
        <f aca="false">VLOOKUP(D253,Products!$A$2:$E$26,4,FALSE())</f>
        <v>14.34</v>
      </c>
      <c r="L253" s="6" t="n">
        <f aca="false">(I253-F253*K253)/I253</f>
        <v>0.263368777931885</v>
      </c>
    </row>
    <row r="254" customFormat="false" ht="15" hidden="false" customHeight="false" outlineLevel="0" collapsed="false">
      <c r="A254" s="0" t="n">
        <v>10250</v>
      </c>
      <c r="B254" s="3" t="n">
        <v>45414</v>
      </c>
      <c r="C254" s="0" t="n">
        <v>20</v>
      </c>
      <c r="D254" s="4" t="s">
        <v>23</v>
      </c>
      <c r="E254" s="4" t="s">
        <v>21</v>
      </c>
      <c r="F254" s="0" t="n">
        <v>0</v>
      </c>
      <c r="G254" s="5" t="n">
        <v>120.51</v>
      </c>
      <c r="H254" s="6" t="n">
        <v>0</v>
      </c>
      <c r="I254" s="5" t="n">
        <f aca="false">F254*G254*(1-H254)</f>
        <v>0</v>
      </c>
      <c r="J254" s="4" t="s">
        <v>15</v>
      </c>
      <c r="K254" s="5" t="n">
        <f aca="false">VLOOKUP(D254,Products!$A$2:$E$26,4,FALSE())</f>
        <v>75.38</v>
      </c>
      <c r="L254" s="6" t="e">
        <f aca="false">(I254-F254*K254)/I254</f>
        <v>#DIV/0!</v>
      </c>
    </row>
    <row r="255" customFormat="false" ht="15" hidden="false" customHeight="false" outlineLevel="0" collapsed="false">
      <c r="A255" s="0" t="n">
        <v>10251</v>
      </c>
      <c r="B255" s="3" t="n">
        <v>45650</v>
      </c>
      <c r="C255" s="0" t="n">
        <v>59</v>
      </c>
      <c r="D255" s="4" t="s">
        <v>29</v>
      </c>
      <c r="E255" s="4" t="s">
        <v>14</v>
      </c>
      <c r="F255" s="0" t="n">
        <v>29</v>
      </c>
      <c r="G255" s="5" t="n">
        <v>81.56</v>
      </c>
      <c r="H255" s="6" t="n">
        <v>0.15</v>
      </c>
      <c r="I255" s="5" t="n">
        <f aca="false">F255*G255*(1-H255)</f>
        <v>2010.454</v>
      </c>
      <c r="J255" s="4" t="s">
        <v>15</v>
      </c>
      <c r="K255" s="5" t="n">
        <f aca="false">VLOOKUP(D255,Products!$A$2:$E$26,4,FALSE())</f>
        <v>38.68</v>
      </c>
      <c r="L255" s="6" t="n">
        <f aca="false">(I255-F255*K255)/I255</f>
        <v>0.442056371346969</v>
      </c>
    </row>
    <row r="256" customFormat="false" ht="15" hidden="false" customHeight="false" outlineLevel="0" collapsed="false">
      <c r="A256" s="0" t="n">
        <v>10252</v>
      </c>
      <c r="B256" s="3" t="n">
        <v>45331</v>
      </c>
      <c r="C256" s="0" t="n">
        <v>64</v>
      </c>
      <c r="D256" s="4" t="s">
        <v>31</v>
      </c>
      <c r="E256" s="4" t="s">
        <v>21</v>
      </c>
      <c r="F256" s="0" t="n">
        <v>34</v>
      </c>
      <c r="G256" s="5" t="n">
        <v>45.7</v>
      </c>
      <c r="H256" s="6" t="n">
        <v>0</v>
      </c>
      <c r="I256" s="5" t="n">
        <f aca="false">F256*G256*(1-H256)</f>
        <v>1553.8</v>
      </c>
      <c r="J256" s="4" t="s">
        <v>15</v>
      </c>
      <c r="K256" s="5" t="n">
        <f aca="false">VLOOKUP(D256,Products!$A$2:$E$26,4,FALSE())</f>
        <v>23.25</v>
      </c>
      <c r="L256" s="6" t="n">
        <f aca="false">(I256-F256*K256)/I256</f>
        <v>0.491247264770241</v>
      </c>
    </row>
    <row r="257" customFormat="false" ht="15" hidden="false" customHeight="false" outlineLevel="0" collapsed="false">
      <c r="A257" s="0" t="n">
        <v>10253</v>
      </c>
      <c r="B257" s="3" t="n">
        <v>45571</v>
      </c>
      <c r="C257" s="0" t="n">
        <v>77</v>
      </c>
      <c r="D257" s="4" t="s">
        <v>43</v>
      </c>
      <c r="E257" s="4" t="s">
        <v>21</v>
      </c>
      <c r="F257" s="0" t="n">
        <v>14</v>
      </c>
      <c r="G257" s="5" t="n">
        <v>203.77</v>
      </c>
      <c r="H257" s="6" t="n">
        <v>0.05</v>
      </c>
      <c r="I257" s="5" t="n">
        <f aca="false">F257*G257*(1-H257)</f>
        <v>2710.141</v>
      </c>
      <c r="J257" s="4" t="s">
        <v>28</v>
      </c>
      <c r="K257" s="5" t="n">
        <f aca="false">VLOOKUP(D257,Products!$A$2:$E$26,4,FALSE())</f>
        <v>126.91</v>
      </c>
      <c r="L257" s="6" t="n">
        <f aca="false">(I257-F257*K257)/I257</f>
        <v>0.344410493771357</v>
      </c>
    </row>
    <row r="258" customFormat="false" ht="15" hidden="false" customHeight="false" outlineLevel="0" collapsed="false">
      <c r="A258" s="0" t="n">
        <v>10254</v>
      </c>
      <c r="B258" s="3" t="n">
        <v>45532</v>
      </c>
      <c r="C258" s="0" t="n">
        <v>10</v>
      </c>
      <c r="D258" s="4" t="s">
        <v>44</v>
      </c>
      <c r="E258" s="4" t="s">
        <v>20</v>
      </c>
      <c r="F258" s="0" t="n">
        <v>7</v>
      </c>
      <c r="G258" s="5" t="n">
        <v>30.48</v>
      </c>
      <c r="H258" s="6" t="n">
        <v>0</v>
      </c>
      <c r="I258" s="5" t="n">
        <f aca="false">F258*G258*(1-H258)</f>
        <v>213.36</v>
      </c>
      <c r="J258" s="4" t="s">
        <v>28</v>
      </c>
      <c r="K258" s="5" t="n">
        <f aca="false">VLOOKUP(D258,Products!$A$2:$E$26,4,FALSE())</f>
        <v>18.41</v>
      </c>
      <c r="L258" s="6" t="n">
        <f aca="false">(I258-F258*K258)/I258</f>
        <v>0.395997375328084</v>
      </c>
    </row>
    <row r="259" customFormat="false" ht="15" hidden="false" customHeight="false" outlineLevel="0" collapsed="false">
      <c r="A259" s="0" t="n">
        <v>10255</v>
      </c>
      <c r="B259" s="3" t="n">
        <v>45587</v>
      </c>
      <c r="C259" s="0" t="n">
        <v>43</v>
      </c>
      <c r="D259" s="4" t="s">
        <v>13</v>
      </c>
      <c r="E259" s="4" t="s">
        <v>14</v>
      </c>
      <c r="F259" s="0" t="n">
        <v>34</v>
      </c>
      <c r="G259" s="5" t="n">
        <v>89.38</v>
      </c>
      <c r="H259" s="6" t="n">
        <v>0.15</v>
      </c>
      <c r="I259" s="5" t="n">
        <f aca="false">F259*G259*(1-H259)</f>
        <v>2583.082</v>
      </c>
      <c r="J259" s="4" t="s">
        <v>28</v>
      </c>
      <c r="K259" s="5" t="n">
        <f aca="false">VLOOKUP(D259,Products!$A$2:$E$26,4,FALSE())</f>
        <v>39.86</v>
      </c>
      <c r="L259" s="6" t="n">
        <f aca="false">(I259-F259*K259)/I259</f>
        <v>0.475339923393837</v>
      </c>
    </row>
    <row r="260" customFormat="false" ht="15" hidden="false" customHeight="false" outlineLevel="0" collapsed="false">
      <c r="A260" s="0" t="n">
        <v>10256</v>
      </c>
      <c r="B260" s="3" t="n">
        <v>45294</v>
      </c>
      <c r="C260" s="0" t="n">
        <v>25</v>
      </c>
      <c r="D260" s="4" t="s">
        <v>35</v>
      </c>
      <c r="E260" s="4" t="s">
        <v>14</v>
      </c>
      <c r="F260" s="0" t="n">
        <v>22</v>
      </c>
      <c r="G260" s="5" t="n">
        <v>380.35</v>
      </c>
      <c r="H260" s="6" t="n">
        <v>0</v>
      </c>
      <c r="I260" s="5" t="n">
        <f aca="false">F260*G260*(1-H260)</f>
        <v>8367.7</v>
      </c>
      <c r="J260" s="4" t="s">
        <v>15</v>
      </c>
      <c r="K260" s="5" t="n">
        <f aca="false">VLOOKUP(D260,Products!$A$2:$E$26,4,FALSE())</f>
        <v>244.6</v>
      </c>
      <c r="L260" s="6" t="n">
        <f aca="false">(I260-F260*K260)/I260</f>
        <v>0.35690811095044</v>
      </c>
    </row>
    <row r="261" customFormat="false" ht="15" hidden="false" customHeight="false" outlineLevel="0" collapsed="false">
      <c r="A261" s="0" t="n">
        <v>10257</v>
      </c>
      <c r="B261" s="3" t="n">
        <v>45568</v>
      </c>
      <c r="C261" s="0" t="n">
        <v>74</v>
      </c>
      <c r="D261" s="4" t="s">
        <v>33</v>
      </c>
      <c r="E261" s="4" t="s">
        <v>14</v>
      </c>
      <c r="F261" s="0" t="n">
        <v>7</v>
      </c>
      <c r="G261" s="5" t="n">
        <v>43.42</v>
      </c>
      <c r="H261" s="6" t="n">
        <v>0.1</v>
      </c>
      <c r="I261" s="5" t="n">
        <f aca="false">F261*G261*(1-H261)</f>
        <v>273.546</v>
      </c>
      <c r="J261" s="4" t="s">
        <v>15</v>
      </c>
      <c r="K261" s="5" t="n">
        <f aca="false">VLOOKUP(D261,Products!$A$2:$E$26,4,FALSE())</f>
        <v>28.4</v>
      </c>
      <c r="L261" s="6" t="n">
        <f aca="false">(I261-F261*K261)/I261</f>
        <v>0.273248375044782</v>
      </c>
    </row>
    <row r="262" customFormat="false" ht="15" hidden="false" customHeight="false" outlineLevel="0" collapsed="false">
      <c r="A262" s="0" t="n">
        <v>10258</v>
      </c>
      <c r="B262" s="3" t="n">
        <v>45649</v>
      </c>
      <c r="C262" s="0" t="n">
        <v>72</v>
      </c>
      <c r="D262" s="4" t="s">
        <v>25</v>
      </c>
      <c r="E262" s="4" t="s">
        <v>14</v>
      </c>
      <c r="F262" s="0" t="n">
        <v>36</v>
      </c>
      <c r="G262" s="5" t="n">
        <v>209.22</v>
      </c>
      <c r="H262" s="6" t="n">
        <v>0.1</v>
      </c>
      <c r="I262" s="5" t="n">
        <f aca="false">F262*G262*(1-H262)</f>
        <v>6778.728</v>
      </c>
      <c r="J262" s="4" t="s">
        <v>18</v>
      </c>
      <c r="K262" s="5" t="n">
        <f aca="false">VLOOKUP(D262,Products!$A$2:$E$26,4,FALSE())</f>
        <v>128.85</v>
      </c>
      <c r="L262" s="6" t="n">
        <f aca="false">(I262-F262*K262)/I262</f>
        <v>0.315712328330625</v>
      </c>
    </row>
    <row r="263" customFormat="false" ht="15" hidden="false" customHeight="false" outlineLevel="0" collapsed="false">
      <c r="A263" s="0" t="n">
        <v>10259</v>
      </c>
      <c r="B263" s="3" t="n">
        <v>45628</v>
      </c>
      <c r="C263" s="0" t="n">
        <v>77</v>
      </c>
      <c r="D263" s="4" t="s">
        <v>42</v>
      </c>
      <c r="E263" s="4" t="s">
        <v>24</v>
      </c>
      <c r="F263" s="0" t="n">
        <v>5</v>
      </c>
      <c r="G263" s="5" t="n">
        <v>79.14</v>
      </c>
      <c r="H263" s="6" t="n">
        <v>0.1</v>
      </c>
      <c r="I263" s="5" t="n">
        <f aca="false">F263*G263*(1-H263)</f>
        <v>356.13</v>
      </c>
      <c r="J263" s="4" t="s">
        <v>28</v>
      </c>
      <c r="K263" s="5" t="n">
        <f aca="false">VLOOKUP(D263,Products!$A$2:$E$26,4,FALSE())</f>
        <v>47.32</v>
      </c>
      <c r="L263" s="6" t="n">
        <f aca="false">(I263-F263*K263)/I263</f>
        <v>0.335635863308342</v>
      </c>
    </row>
    <row r="264" customFormat="false" ht="15" hidden="false" customHeight="false" outlineLevel="0" collapsed="false">
      <c r="A264" s="0" t="n">
        <v>10260</v>
      </c>
      <c r="B264" s="3" t="n">
        <v>45502</v>
      </c>
      <c r="C264" s="0" t="n">
        <v>75</v>
      </c>
      <c r="D264" s="4" t="s">
        <v>26</v>
      </c>
      <c r="E264" s="4" t="s">
        <v>14</v>
      </c>
      <c r="F264" s="0" t="n">
        <v>2</v>
      </c>
      <c r="G264" s="5" t="n">
        <v>51.96</v>
      </c>
      <c r="H264" s="6" t="n">
        <v>0.1</v>
      </c>
      <c r="I264" s="5" t="n">
        <f aca="false">F264*G264*(1-H264)</f>
        <v>93.528</v>
      </c>
      <c r="J264" s="4" t="s">
        <v>15</v>
      </c>
      <c r="K264" s="5" t="n">
        <f aca="false">VLOOKUP(D264,Products!$A$2:$E$26,4,FALSE())</f>
        <v>22.68</v>
      </c>
      <c r="L264" s="6" t="n">
        <f aca="false">(I264-F264*K264)/I264</f>
        <v>0.515011547344111</v>
      </c>
    </row>
    <row r="265" customFormat="false" ht="15" hidden="false" customHeight="false" outlineLevel="0" collapsed="false">
      <c r="A265" s="0" t="n">
        <v>10261</v>
      </c>
      <c r="B265" s="3" t="n">
        <v>45350</v>
      </c>
      <c r="C265" s="0" t="n">
        <v>54</v>
      </c>
      <c r="D265" s="4" t="s">
        <v>37</v>
      </c>
      <c r="E265" s="4" t="s">
        <v>14</v>
      </c>
      <c r="F265" s="0" t="n">
        <v>10</v>
      </c>
      <c r="G265" s="5" t="n">
        <v>7.81</v>
      </c>
      <c r="H265" s="6" t="n">
        <v>0.05</v>
      </c>
      <c r="I265" s="5" t="n">
        <f aca="false">F265*G265*(1-H265)</f>
        <v>74.195</v>
      </c>
      <c r="J265" s="4" t="s">
        <v>15</v>
      </c>
      <c r="K265" s="5" t="n">
        <f aca="false">VLOOKUP(D265,Products!$A$2:$E$26,4,FALSE())</f>
        <v>3.88</v>
      </c>
      <c r="L265" s="6" t="n">
        <f aca="false">(I265-F265*K265)/I265</f>
        <v>0.477053709818721</v>
      </c>
    </row>
    <row r="266" customFormat="false" ht="15" hidden="false" customHeight="false" outlineLevel="0" collapsed="false">
      <c r="A266" s="0" t="n">
        <v>10262</v>
      </c>
      <c r="B266" s="3" t="n">
        <v>45452</v>
      </c>
      <c r="C266" s="0" t="n">
        <v>71</v>
      </c>
      <c r="D266" s="4" t="s">
        <v>25</v>
      </c>
      <c r="E266" s="4" t="s">
        <v>14</v>
      </c>
      <c r="F266" s="0" t="n">
        <v>26</v>
      </c>
      <c r="G266" s="5" t="n">
        <v>210.22</v>
      </c>
      <c r="H266" s="6" t="n">
        <v>0</v>
      </c>
      <c r="I266" s="5" t="n">
        <f aca="false">F266*G266*(1-H266)</f>
        <v>5465.72</v>
      </c>
      <c r="J266" s="4" t="s">
        <v>15</v>
      </c>
      <c r="K266" s="5" t="n">
        <f aca="false">VLOOKUP(D266,Products!$A$2:$E$26,4,FALSE())</f>
        <v>128.85</v>
      </c>
      <c r="L266" s="6" t="n">
        <f aca="false">(I266-F266*K266)/I266</f>
        <v>0.387070687850823</v>
      </c>
    </row>
    <row r="267" customFormat="false" ht="15" hidden="false" customHeight="false" outlineLevel="0" collapsed="false">
      <c r="A267" s="0" t="n">
        <v>10263</v>
      </c>
      <c r="B267" s="3" t="n">
        <v>45459</v>
      </c>
      <c r="C267" s="0" t="n">
        <v>52</v>
      </c>
      <c r="D267" s="4" t="s">
        <v>32</v>
      </c>
      <c r="E267" s="4" t="s">
        <v>21</v>
      </c>
      <c r="F267" s="0" t="n">
        <v>16</v>
      </c>
      <c r="G267" s="5" t="n">
        <v>351.75</v>
      </c>
      <c r="H267" s="6" t="n">
        <v>0</v>
      </c>
      <c r="I267" s="5" t="n">
        <f aca="false">F267*G267*(1-H267)</f>
        <v>5628</v>
      </c>
      <c r="J267" s="4" t="s">
        <v>15</v>
      </c>
      <c r="K267" s="5" t="n">
        <f aca="false">VLOOKUP(D267,Products!$A$2:$E$26,4,FALSE())</f>
        <v>144.3</v>
      </c>
      <c r="L267" s="6" t="n">
        <f aca="false">(I267-F267*K267)/I267</f>
        <v>0.589765458422175</v>
      </c>
    </row>
    <row r="268" customFormat="false" ht="15" hidden="false" customHeight="false" outlineLevel="0" collapsed="false">
      <c r="A268" s="0" t="n">
        <v>10264</v>
      </c>
      <c r="B268" s="3" t="n">
        <v>45301</v>
      </c>
      <c r="C268" s="0" t="n">
        <v>25</v>
      </c>
      <c r="D268" s="4" t="s">
        <v>31</v>
      </c>
      <c r="E268" s="4" t="s">
        <v>14</v>
      </c>
      <c r="F268" s="0" t="n">
        <v>9</v>
      </c>
      <c r="G268" s="5" t="n">
        <v>43.96</v>
      </c>
      <c r="H268" s="6" t="n">
        <v>0</v>
      </c>
      <c r="I268" s="5" t="n">
        <f aca="false">F268*G268*(1-H268)</f>
        <v>395.64</v>
      </c>
      <c r="J268" s="4" t="s">
        <v>18</v>
      </c>
      <c r="K268" s="5" t="n">
        <f aca="false">VLOOKUP(D268,Products!$A$2:$E$26,4,FALSE())</f>
        <v>23.25</v>
      </c>
      <c r="L268" s="6" t="n">
        <f aca="false">(I268-F268*K268)/I268</f>
        <v>0.471110100090992</v>
      </c>
    </row>
    <row r="269" customFormat="false" ht="15" hidden="false" customHeight="false" outlineLevel="0" collapsed="false">
      <c r="A269" s="0" t="n">
        <v>10265</v>
      </c>
      <c r="B269" s="3" t="n">
        <v>45396</v>
      </c>
      <c r="C269" s="0" t="n">
        <v>21</v>
      </c>
      <c r="D269" s="4" t="s">
        <v>38</v>
      </c>
      <c r="E269" s="4" t="s">
        <v>20</v>
      </c>
      <c r="F269" s="0" t="n">
        <v>9</v>
      </c>
      <c r="G269" s="5" t="n">
        <v>176.5</v>
      </c>
      <c r="H269" s="6" t="n">
        <v>0.05</v>
      </c>
      <c r="I269" s="5" t="n">
        <f aca="false">F269*G269*(1-H269)</f>
        <v>1509.075</v>
      </c>
      <c r="J269" s="4" t="s">
        <v>15</v>
      </c>
      <c r="K269" s="5" t="n">
        <f aca="false">VLOOKUP(D269,Products!$A$2:$E$26,4,FALSE())</f>
        <v>107.25</v>
      </c>
      <c r="L269" s="6" t="n">
        <f aca="false">(I269-F269*K269)/I269</f>
        <v>0.360369762934248</v>
      </c>
    </row>
    <row r="270" customFormat="false" ht="15" hidden="false" customHeight="false" outlineLevel="0" collapsed="false">
      <c r="A270" s="0" t="n">
        <v>10266</v>
      </c>
      <c r="B270" s="3" t="n">
        <v>45352</v>
      </c>
      <c r="C270" s="0" t="n">
        <v>71</v>
      </c>
      <c r="D270" s="4" t="s">
        <v>44</v>
      </c>
      <c r="E270" s="4" t="s">
        <v>20</v>
      </c>
      <c r="F270" s="0" t="n">
        <v>27</v>
      </c>
      <c r="G270" s="5" t="n">
        <v>30.9</v>
      </c>
      <c r="H270" s="6" t="n">
        <v>0</v>
      </c>
      <c r="I270" s="5" t="n">
        <f aca="false">F270*G270*(1-H270)</f>
        <v>834.3</v>
      </c>
      <c r="J270" s="4" t="s">
        <v>18</v>
      </c>
      <c r="K270" s="5" t="n">
        <f aca="false">VLOOKUP(D270,Products!$A$2:$E$26,4,FALSE())</f>
        <v>18.41</v>
      </c>
      <c r="L270" s="6" t="n">
        <f aca="false">(I270-F270*K270)/I270</f>
        <v>0.4042071197411</v>
      </c>
    </row>
    <row r="271" customFormat="false" ht="15" hidden="false" customHeight="false" outlineLevel="0" collapsed="false">
      <c r="A271" s="0" t="n">
        <v>10267</v>
      </c>
      <c r="B271" s="3" t="n">
        <v>45655</v>
      </c>
      <c r="C271" s="0" t="n">
        <v>69</v>
      </c>
      <c r="D271" s="4" t="s">
        <v>17</v>
      </c>
      <c r="E271" s="4" t="s">
        <v>21</v>
      </c>
      <c r="F271" s="0" t="n">
        <v>31</v>
      </c>
      <c r="G271" s="5" t="n">
        <v>87.9</v>
      </c>
      <c r="H271" s="6" t="n">
        <v>0.15</v>
      </c>
      <c r="I271" s="5" t="n">
        <f aca="false">F271*G271*(1-H271)</f>
        <v>2316.165</v>
      </c>
      <c r="J271" s="4" t="s">
        <v>15</v>
      </c>
      <c r="K271" s="5" t="n">
        <f aca="false">VLOOKUP(D271,Products!$A$2:$E$26,4,FALSE())</f>
        <v>38.24</v>
      </c>
      <c r="L271" s="6" t="n">
        <f aca="false">(I271-F271*K271)/I271</f>
        <v>0.48818844944121</v>
      </c>
    </row>
    <row r="272" customFormat="false" ht="15" hidden="false" customHeight="false" outlineLevel="0" collapsed="false">
      <c r="A272" s="0" t="n">
        <v>10268</v>
      </c>
      <c r="B272" s="3" t="n">
        <v>45630</v>
      </c>
      <c r="C272" s="0" t="n">
        <v>64</v>
      </c>
      <c r="D272" s="4" t="s">
        <v>22</v>
      </c>
      <c r="E272" s="4" t="s">
        <v>14</v>
      </c>
      <c r="F272" s="0" t="n">
        <v>6</v>
      </c>
      <c r="G272" s="5" t="n">
        <v>50.37</v>
      </c>
      <c r="H272" s="6" t="n">
        <v>0</v>
      </c>
      <c r="I272" s="5" t="n">
        <f aca="false">F272*G272*(1-H272)</f>
        <v>302.22</v>
      </c>
      <c r="J272" s="4" t="s">
        <v>15</v>
      </c>
      <c r="K272" s="5" t="n">
        <f aca="false">VLOOKUP(D272,Products!$A$2:$E$26,4,FALSE())</f>
        <v>26.06</v>
      </c>
      <c r="L272" s="6" t="n">
        <f aca="false">(I272-F272*K272)/I272</f>
        <v>0.482628548739329</v>
      </c>
    </row>
    <row r="273" customFormat="false" ht="15" hidden="false" customHeight="false" outlineLevel="0" collapsed="false">
      <c r="A273" s="0" t="n">
        <v>10269</v>
      </c>
      <c r="B273" s="3" t="n">
        <v>45454</v>
      </c>
      <c r="C273" s="0" t="n">
        <v>62</v>
      </c>
      <c r="D273" s="4" t="s">
        <v>22</v>
      </c>
      <c r="E273" s="4" t="s">
        <v>14</v>
      </c>
      <c r="F273" s="0" t="n">
        <v>9</v>
      </c>
      <c r="G273" s="5" t="n">
        <v>52.08</v>
      </c>
      <c r="H273" s="6" t="n">
        <v>0</v>
      </c>
      <c r="I273" s="5" t="n">
        <f aca="false">F273*G273*(1-H273)</f>
        <v>468.72</v>
      </c>
      <c r="J273" s="4" t="s">
        <v>15</v>
      </c>
      <c r="K273" s="5" t="n">
        <f aca="false">VLOOKUP(D273,Products!$A$2:$E$26,4,FALSE())</f>
        <v>26.06</v>
      </c>
      <c r="L273" s="6" t="n">
        <f aca="false">(I273-F273*K273)/I273</f>
        <v>0.499615975422427</v>
      </c>
    </row>
    <row r="274" customFormat="false" ht="15" hidden="false" customHeight="false" outlineLevel="0" collapsed="false">
      <c r="A274" s="0" t="n">
        <v>10270</v>
      </c>
      <c r="B274" s="3" t="n">
        <v>45467</v>
      </c>
      <c r="C274" s="0" t="n">
        <v>67</v>
      </c>
      <c r="D274" s="4" t="s">
        <v>33</v>
      </c>
      <c r="E274" s="4" t="s">
        <v>20</v>
      </c>
      <c r="F274" s="0" t="n">
        <v>27</v>
      </c>
      <c r="G274" s="5" t="n">
        <v>44.02</v>
      </c>
      <c r="H274" s="6" t="n">
        <v>0</v>
      </c>
      <c r="I274" s="5" t="n">
        <f aca="false">F274*G274*(1-H274)</f>
        <v>1188.54</v>
      </c>
      <c r="J274" s="4" t="s">
        <v>28</v>
      </c>
      <c r="K274" s="5" t="n">
        <f aca="false">VLOOKUP(D274,Products!$A$2:$E$26,4,FALSE())</f>
        <v>28.4</v>
      </c>
      <c r="L274" s="6" t="n">
        <f aca="false">(I274-F274*K274)/I274</f>
        <v>0.35483870967742</v>
      </c>
    </row>
    <row r="275" customFormat="false" ht="15" hidden="false" customHeight="false" outlineLevel="0" collapsed="false">
      <c r="A275" s="0" t="n">
        <v>10271</v>
      </c>
      <c r="B275" s="3" t="n">
        <v>45407</v>
      </c>
      <c r="C275" s="0" t="n">
        <v>22</v>
      </c>
      <c r="D275" s="4" t="s">
        <v>34</v>
      </c>
      <c r="E275" s="4" t="s">
        <v>20</v>
      </c>
      <c r="F275" s="0" t="n">
        <v>5</v>
      </c>
      <c r="G275" s="5" t="n">
        <v>21.07</v>
      </c>
      <c r="H275" s="6" t="n">
        <v>0.1</v>
      </c>
      <c r="I275" s="5" t="n">
        <f aca="false">F275*G275*(1-H275)</f>
        <v>94.815</v>
      </c>
      <c r="J275" s="4" t="s">
        <v>15</v>
      </c>
      <c r="K275" s="5" t="n">
        <f aca="false">VLOOKUP(D275,Products!$A$2:$E$26,4,FALSE())</f>
        <v>14.34</v>
      </c>
      <c r="L275" s="6" t="n">
        <f aca="false">(I275-F275*K275)/I275</f>
        <v>0.243790539471603</v>
      </c>
    </row>
    <row r="276" customFormat="false" ht="15" hidden="false" customHeight="false" outlineLevel="0" collapsed="false">
      <c r="A276" s="0" t="n">
        <v>10272</v>
      </c>
      <c r="B276" s="3" t="n">
        <v>45327</v>
      </c>
      <c r="C276" s="0" t="n">
        <v>28</v>
      </c>
      <c r="D276" s="4" t="s">
        <v>27</v>
      </c>
      <c r="E276" s="4" t="s">
        <v>21</v>
      </c>
      <c r="F276" s="0" t="n">
        <v>22</v>
      </c>
      <c r="G276" s="5" t="n">
        <v>114.04</v>
      </c>
      <c r="H276" s="6" t="n">
        <v>0.15</v>
      </c>
      <c r="I276" s="5" t="n">
        <f aca="false">F276*G276*(1-H276)</f>
        <v>2132.548</v>
      </c>
      <c r="J276" s="4" t="s">
        <v>28</v>
      </c>
      <c r="K276" s="5" t="n">
        <f aca="false">VLOOKUP(D276,Products!$A$2:$E$26,4,FALSE())</f>
        <v>45.07</v>
      </c>
      <c r="L276" s="6" t="n">
        <f aca="false">(I276-F276*K276)/I276</f>
        <v>0.535044463243032</v>
      </c>
    </row>
    <row r="277" customFormat="false" ht="15" hidden="false" customHeight="false" outlineLevel="0" collapsed="false">
      <c r="A277" s="0" t="n">
        <v>10273</v>
      </c>
      <c r="B277" s="3" t="n">
        <v>45504</v>
      </c>
      <c r="C277" s="0" t="n">
        <v>24</v>
      </c>
      <c r="D277" s="4" t="s">
        <v>43</v>
      </c>
      <c r="E277" s="4" t="s">
        <v>24</v>
      </c>
      <c r="F277" s="0" t="n">
        <v>26</v>
      </c>
      <c r="G277" s="5" t="n">
        <v>206.79</v>
      </c>
      <c r="H277" s="6" t="n">
        <v>0</v>
      </c>
      <c r="I277" s="5" t="n">
        <f aca="false">F277*G277*(1-H277)</f>
        <v>5376.54</v>
      </c>
      <c r="J277" s="4" t="s">
        <v>28</v>
      </c>
      <c r="K277" s="5" t="n">
        <f aca="false">VLOOKUP(D277,Products!$A$2:$E$26,4,FALSE())</f>
        <v>126.91</v>
      </c>
      <c r="L277" s="6" t="n">
        <f aca="false">(I277-F277*K277)/I277</f>
        <v>0.386285603752599</v>
      </c>
    </row>
    <row r="278" customFormat="false" ht="15" hidden="false" customHeight="false" outlineLevel="0" collapsed="false">
      <c r="A278" s="0" t="n">
        <v>10274</v>
      </c>
      <c r="B278" s="3" t="n">
        <v>45426</v>
      </c>
      <c r="C278" s="0" t="n">
        <v>4</v>
      </c>
      <c r="D278" s="4" t="s">
        <v>31</v>
      </c>
      <c r="E278" s="4" t="s">
        <v>21</v>
      </c>
      <c r="F278" s="0" t="n">
        <v>9</v>
      </c>
      <c r="G278" s="5" t="n">
        <v>41.67</v>
      </c>
      <c r="H278" s="6" t="n">
        <v>0</v>
      </c>
      <c r="I278" s="5" t="n">
        <f aca="false">F278*G278*(1-H278)</f>
        <v>375.03</v>
      </c>
      <c r="J278" s="4" t="s">
        <v>28</v>
      </c>
      <c r="K278" s="5" t="n">
        <f aca="false">VLOOKUP(D278,Products!$A$2:$E$26,4,FALSE())</f>
        <v>23.25</v>
      </c>
      <c r="L278" s="6" t="n">
        <f aca="false">(I278-F278*K278)/I278</f>
        <v>0.442044636429086</v>
      </c>
    </row>
    <row r="279" customFormat="false" ht="15" hidden="false" customHeight="false" outlineLevel="0" collapsed="false">
      <c r="A279" s="0" t="n">
        <v>10275</v>
      </c>
      <c r="B279" s="3" t="n">
        <v>45357</v>
      </c>
      <c r="C279" s="0" t="n">
        <v>2</v>
      </c>
      <c r="D279" s="4" t="s">
        <v>44</v>
      </c>
      <c r="E279" s="4" t="s">
        <v>20</v>
      </c>
      <c r="F279" s="0" t="n">
        <v>12</v>
      </c>
      <c r="G279" s="5" t="n">
        <v>30.85</v>
      </c>
      <c r="H279" s="6" t="n">
        <v>0.1</v>
      </c>
      <c r="I279" s="5" t="n">
        <f aca="false">F279*G279*(1-H279)</f>
        <v>333.18</v>
      </c>
      <c r="J279" s="4" t="s">
        <v>15</v>
      </c>
      <c r="K279" s="5" t="n">
        <f aca="false">VLOOKUP(D279,Products!$A$2:$E$26,4,FALSE())</f>
        <v>18.41</v>
      </c>
      <c r="L279" s="6" t="n">
        <f aca="false">(I279-F279*K279)/I279</f>
        <v>0.336934990095444</v>
      </c>
    </row>
    <row r="280" customFormat="false" ht="15" hidden="false" customHeight="false" outlineLevel="0" collapsed="false">
      <c r="A280" s="0" t="n">
        <v>10276</v>
      </c>
      <c r="B280" s="3" t="n">
        <v>45340</v>
      </c>
      <c r="C280" s="0" t="n">
        <v>48</v>
      </c>
      <c r="D280" s="4" t="s">
        <v>30</v>
      </c>
      <c r="E280" s="4" t="s">
        <v>24</v>
      </c>
      <c r="F280" s="0" t="n">
        <v>3</v>
      </c>
      <c r="G280" s="5" t="n">
        <v>221.32</v>
      </c>
      <c r="H280" s="6" t="n">
        <v>0.1</v>
      </c>
      <c r="I280" s="5" t="n">
        <f aca="false">F280*G280*(1-H280)</f>
        <v>597.564</v>
      </c>
      <c r="J280" s="4" t="s">
        <v>18</v>
      </c>
      <c r="K280" s="5" t="n">
        <f aca="false">VLOOKUP(D280,Products!$A$2:$E$26,4,FALSE())</f>
        <v>97.8</v>
      </c>
      <c r="L280" s="6" t="n">
        <f aca="false">(I280-F280*K280)/I280</f>
        <v>0.509006566660642</v>
      </c>
    </row>
    <row r="281" customFormat="false" ht="15" hidden="false" customHeight="false" outlineLevel="0" collapsed="false">
      <c r="A281" s="0" t="n">
        <v>10277</v>
      </c>
      <c r="B281" s="3" t="n">
        <v>45532</v>
      </c>
      <c r="C281" s="0" t="n">
        <v>44</v>
      </c>
      <c r="D281" s="4" t="s">
        <v>38</v>
      </c>
      <c r="E281" s="4" t="s">
        <v>21</v>
      </c>
      <c r="F281" s="0" t="n">
        <v>17</v>
      </c>
      <c r="G281" s="5" t="n">
        <v>172.81</v>
      </c>
      <c r="H281" s="6" t="n">
        <v>0</v>
      </c>
      <c r="I281" s="5" t="n">
        <f aca="false">F281*G281*(1-H281)</f>
        <v>2937.77</v>
      </c>
      <c r="J281" s="4" t="s">
        <v>28</v>
      </c>
      <c r="K281" s="5" t="n">
        <f aca="false">VLOOKUP(D281,Products!$A$2:$E$26,4,FALSE())</f>
        <v>107.25</v>
      </c>
      <c r="L281" s="6" t="n">
        <f aca="false">(I281-F281*K281)/I281</f>
        <v>0.37937619350732</v>
      </c>
    </row>
    <row r="282" customFormat="false" ht="15" hidden="false" customHeight="false" outlineLevel="0" collapsed="false">
      <c r="A282" s="0" t="n">
        <v>10278</v>
      </c>
      <c r="B282" s="3" t="n">
        <v>45642</v>
      </c>
      <c r="C282" s="0" t="n">
        <v>72</v>
      </c>
      <c r="D282" s="4" t="s">
        <v>35</v>
      </c>
      <c r="E282" s="4" t="s">
        <v>21</v>
      </c>
      <c r="F282" s="0" t="n">
        <v>17</v>
      </c>
      <c r="G282" s="5" t="n">
        <v>369.75</v>
      </c>
      <c r="H282" s="6" t="n">
        <v>0.15</v>
      </c>
      <c r="I282" s="5" t="n">
        <f aca="false">F282*G282*(1-H282)</f>
        <v>5342.8875</v>
      </c>
      <c r="J282" s="4" t="s">
        <v>28</v>
      </c>
      <c r="K282" s="5" t="n">
        <f aca="false">VLOOKUP(D282,Products!$A$2:$E$26,4,FALSE())</f>
        <v>244.6</v>
      </c>
      <c r="L282" s="6" t="n">
        <f aca="false">(I282-F282*K282)/I282</f>
        <v>0.22173169470628</v>
      </c>
    </row>
    <row r="283" customFormat="false" ht="15" hidden="false" customHeight="false" outlineLevel="0" collapsed="false">
      <c r="A283" s="0" t="n">
        <v>10279</v>
      </c>
      <c r="B283" s="3" t="n">
        <v>45385</v>
      </c>
      <c r="C283" s="0" t="n">
        <v>67</v>
      </c>
      <c r="D283" s="4" t="s">
        <v>13</v>
      </c>
      <c r="E283" s="4" t="s">
        <v>20</v>
      </c>
      <c r="F283" s="0" t="n">
        <v>25</v>
      </c>
      <c r="G283" s="5" t="n">
        <v>91.88</v>
      </c>
      <c r="H283" s="6" t="n">
        <v>0.15</v>
      </c>
      <c r="I283" s="5" t="n">
        <f aca="false">F283*G283*(1-H283)</f>
        <v>1952.45</v>
      </c>
      <c r="J283" s="4" t="s">
        <v>28</v>
      </c>
      <c r="K283" s="5" t="n">
        <f aca="false">VLOOKUP(D283,Products!$A$2:$E$26,4,FALSE())</f>
        <v>39.86</v>
      </c>
      <c r="L283" s="6" t="n">
        <f aca="false">(I283-F283*K283)/I283</f>
        <v>0.489615611155215</v>
      </c>
    </row>
    <row r="284" customFormat="false" ht="15" hidden="false" customHeight="false" outlineLevel="0" collapsed="false">
      <c r="A284" s="0" t="n">
        <v>10280</v>
      </c>
      <c r="B284" s="3" t="n">
        <v>45584</v>
      </c>
      <c r="C284" s="0" t="n">
        <v>44</v>
      </c>
      <c r="D284" s="4" t="s">
        <v>38</v>
      </c>
      <c r="E284" s="4" t="s">
        <v>21</v>
      </c>
      <c r="F284" s="0" t="n">
        <v>15</v>
      </c>
      <c r="G284" s="5" t="n">
        <v>179.18</v>
      </c>
      <c r="H284" s="6" t="n">
        <v>0.15</v>
      </c>
      <c r="I284" s="5" t="n">
        <f aca="false">F284*G284*(1-H284)</f>
        <v>2284.545</v>
      </c>
      <c r="J284" s="4" t="s">
        <v>28</v>
      </c>
      <c r="K284" s="5" t="n">
        <f aca="false">VLOOKUP(D284,Products!$A$2:$E$26,4,FALSE())</f>
        <v>107.25</v>
      </c>
      <c r="L284" s="6" t="n">
        <f aca="false">(I284-F284*K284)/I284</f>
        <v>0.295811638641393</v>
      </c>
    </row>
    <row r="285" customFormat="false" ht="15" hidden="false" customHeight="false" outlineLevel="0" collapsed="false">
      <c r="A285" s="0" t="n">
        <v>10281</v>
      </c>
      <c r="B285" s="3" t="n">
        <v>45447</v>
      </c>
      <c r="C285" s="0" t="n">
        <v>52</v>
      </c>
      <c r="D285" s="4" t="s">
        <v>35</v>
      </c>
      <c r="E285" s="4" t="s">
        <v>14</v>
      </c>
      <c r="F285" s="0" t="n">
        <v>25</v>
      </c>
      <c r="G285" s="5" t="n">
        <v>404.09</v>
      </c>
      <c r="H285" s="6" t="n">
        <v>0.1</v>
      </c>
      <c r="I285" s="5" t="n">
        <f aca="false">F285*G285*(1-H285)</f>
        <v>9092.025</v>
      </c>
      <c r="J285" s="4" t="s">
        <v>15</v>
      </c>
      <c r="K285" s="5" t="n">
        <f aca="false">VLOOKUP(D285,Products!$A$2:$E$26,4,FALSE())</f>
        <v>244.6</v>
      </c>
      <c r="L285" s="6" t="n">
        <f aca="false">(I285-F285*K285)/I285</f>
        <v>0.327432557653548</v>
      </c>
    </row>
    <row r="286" customFormat="false" ht="15" hidden="false" customHeight="false" outlineLevel="0" collapsed="false">
      <c r="A286" s="0" t="n">
        <v>10282</v>
      </c>
      <c r="B286" s="3" t="n">
        <v>45475</v>
      </c>
      <c r="C286" s="0" t="n">
        <v>12</v>
      </c>
      <c r="D286" s="4" t="s">
        <v>36</v>
      </c>
      <c r="E286" s="4" t="s">
        <v>14</v>
      </c>
      <c r="F286" s="0" t="n">
        <v>1</v>
      </c>
      <c r="G286" s="5" t="n">
        <v>49.32</v>
      </c>
      <c r="H286" s="6" t="n">
        <v>0</v>
      </c>
      <c r="I286" s="5" t="n">
        <f aca="false">F286*G286*(1-H286)</f>
        <v>49.32</v>
      </c>
      <c r="J286" s="4" t="s">
        <v>28</v>
      </c>
      <c r="K286" s="5" t="n">
        <f aca="false">VLOOKUP(D286,Products!$A$2:$E$26,4,FALSE())</f>
        <v>23.74</v>
      </c>
      <c r="L286" s="6" t="n">
        <f aca="false">(I286-F286*K286)/I286</f>
        <v>0.518653690186537</v>
      </c>
    </row>
    <row r="287" customFormat="false" ht="15" hidden="false" customHeight="false" outlineLevel="0" collapsed="false">
      <c r="A287" s="0" t="n">
        <v>10283</v>
      </c>
      <c r="B287" s="3" t="n">
        <v>45482</v>
      </c>
      <c r="C287" s="0" t="n">
        <v>52</v>
      </c>
      <c r="D287" s="4" t="s">
        <v>41</v>
      </c>
      <c r="E287" s="4" t="s">
        <v>24</v>
      </c>
      <c r="F287" s="0" t="n">
        <v>7</v>
      </c>
      <c r="G287" s="5" t="n">
        <v>27.72</v>
      </c>
      <c r="H287" s="6" t="n">
        <v>0</v>
      </c>
      <c r="I287" s="5" t="n">
        <f aca="false">F287*G287*(1-H287)</f>
        <v>194.04</v>
      </c>
      <c r="J287" s="4" t="s">
        <v>15</v>
      </c>
      <c r="K287" s="5" t="n">
        <f aca="false">VLOOKUP(D287,Products!$A$2:$E$26,4,FALSE())</f>
        <v>12.46</v>
      </c>
      <c r="L287" s="6" t="n">
        <f aca="false">(I287-F287*K287)/I287</f>
        <v>0.550505050505051</v>
      </c>
    </row>
    <row r="288" customFormat="false" ht="15" hidden="false" customHeight="false" outlineLevel="0" collapsed="false">
      <c r="A288" s="0" t="n">
        <v>10284</v>
      </c>
      <c r="B288" s="3" t="n">
        <v>45317</v>
      </c>
      <c r="C288" s="0" t="n">
        <v>59</v>
      </c>
      <c r="D288" s="4" t="s">
        <v>37</v>
      </c>
      <c r="E288" s="4" t="s">
        <v>21</v>
      </c>
      <c r="F288" s="0" t="n">
        <v>39</v>
      </c>
      <c r="G288" s="5" t="n">
        <v>8.21</v>
      </c>
      <c r="H288" s="6" t="n">
        <v>0</v>
      </c>
      <c r="I288" s="5" t="n">
        <f aca="false">F288*G288*(1-H288)</f>
        <v>320.19</v>
      </c>
      <c r="J288" s="4" t="s">
        <v>18</v>
      </c>
      <c r="K288" s="5" t="n">
        <f aca="false">VLOOKUP(D288,Products!$A$2:$E$26,4,FALSE())</f>
        <v>3.88</v>
      </c>
      <c r="L288" s="6" t="n">
        <f aca="false">(I288-F288*K288)/I288</f>
        <v>0.527405602923264</v>
      </c>
    </row>
    <row r="289" customFormat="false" ht="15" hidden="false" customHeight="false" outlineLevel="0" collapsed="false">
      <c r="A289" s="0" t="n">
        <v>10285</v>
      </c>
      <c r="B289" s="3" t="n">
        <v>45493</v>
      </c>
      <c r="C289" s="0" t="n">
        <v>35</v>
      </c>
      <c r="D289" s="4" t="s">
        <v>30</v>
      </c>
      <c r="E289" s="4" t="s">
        <v>20</v>
      </c>
      <c r="F289" s="0" t="n">
        <v>15</v>
      </c>
      <c r="G289" s="5" t="n">
        <v>209.5</v>
      </c>
      <c r="H289" s="6" t="n">
        <v>0</v>
      </c>
      <c r="I289" s="5" t="n">
        <f aca="false">F289*G289*(1-H289)</f>
        <v>3142.5</v>
      </c>
      <c r="J289" s="4" t="s">
        <v>15</v>
      </c>
      <c r="K289" s="5" t="n">
        <f aca="false">VLOOKUP(D289,Products!$A$2:$E$26,4,FALSE())</f>
        <v>97.8</v>
      </c>
      <c r="L289" s="6" t="n">
        <f aca="false">(I289-F289*K289)/I289</f>
        <v>0.533174224343676</v>
      </c>
    </row>
    <row r="290" customFormat="false" ht="15" hidden="false" customHeight="false" outlineLevel="0" collapsed="false">
      <c r="A290" s="0" t="n">
        <v>10286</v>
      </c>
      <c r="B290" s="3" t="n">
        <v>45457</v>
      </c>
      <c r="C290" s="0" t="n">
        <v>62</v>
      </c>
      <c r="D290" s="4" t="s">
        <v>42</v>
      </c>
      <c r="E290" s="4" t="s">
        <v>24</v>
      </c>
      <c r="F290" s="0" t="n">
        <v>8</v>
      </c>
      <c r="G290" s="5" t="n">
        <v>75.89</v>
      </c>
      <c r="H290" s="6" t="n">
        <v>0.1</v>
      </c>
      <c r="I290" s="5" t="n">
        <f aca="false">F290*G290*(1-H290)</f>
        <v>546.408</v>
      </c>
      <c r="J290" s="4" t="s">
        <v>15</v>
      </c>
      <c r="K290" s="5" t="n">
        <f aca="false">VLOOKUP(D290,Products!$A$2:$E$26,4,FALSE())</f>
        <v>47.32</v>
      </c>
      <c r="L290" s="6" t="n">
        <f aca="false">(I290-F290*K290)/I290</f>
        <v>0.307184375045753</v>
      </c>
    </row>
    <row r="291" customFormat="false" ht="15" hidden="false" customHeight="false" outlineLevel="0" collapsed="false">
      <c r="A291" s="0" t="n">
        <v>10287</v>
      </c>
      <c r="B291" s="3" t="n">
        <v>45575</v>
      </c>
      <c r="C291" s="0" t="n">
        <v>59</v>
      </c>
      <c r="D291" s="4" t="s">
        <v>33</v>
      </c>
      <c r="E291" s="4" t="s">
        <v>21</v>
      </c>
      <c r="F291" s="0" t="n">
        <v>5</v>
      </c>
      <c r="G291" s="5" t="n">
        <v>43.78</v>
      </c>
      <c r="H291" s="6" t="n">
        <v>0</v>
      </c>
      <c r="I291" s="5" t="n">
        <f aca="false">F291*G291*(1-H291)</f>
        <v>218.9</v>
      </c>
      <c r="J291" s="4" t="s">
        <v>15</v>
      </c>
      <c r="K291" s="5" t="n">
        <f aca="false">VLOOKUP(D291,Products!$A$2:$E$26,4,FALSE())</f>
        <v>28.4</v>
      </c>
      <c r="L291" s="6" t="n">
        <f aca="false">(I291-F291*K291)/I291</f>
        <v>0.351301964367291</v>
      </c>
    </row>
    <row r="292" customFormat="false" ht="15" hidden="false" customHeight="false" outlineLevel="0" collapsed="false">
      <c r="A292" s="0" t="n">
        <v>10288</v>
      </c>
      <c r="B292" s="3" t="n">
        <v>45620</v>
      </c>
      <c r="C292" s="0" t="n">
        <v>16</v>
      </c>
      <c r="D292" s="4" t="s">
        <v>43</v>
      </c>
      <c r="E292" s="4" t="s">
        <v>20</v>
      </c>
      <c r="F292" s="0" t="n">
        <v>20</v>
      </c>
      <c r="G292" s="5" t="n">
        <v>206.58</v>
      </c>
      <c r="H292" s="6" t="n">
        <v>0.05</v>
      </c>
      <c r="I292" s="5" t="n">
        <f aca="false">F292*G292*(1-H292)</f>
        <v>3925.02</v>
      </c>
      <c r="J292" s="4" t="s">
        <v>15</v>
      </c>
      <c r="K292" s="5" t="n">
        <f aca="false">VLOOKUP(D292,Products!$A$2:$E$26,4,FALSE())</f>
        <v>126.91</v>
      </c>
      <c r="L292" s="6" t="n">
        <f aca="false">(I292-F292*K292)/I292</f>
        <v>0.353328135907588</v>
      </c>
    </row>
    <row r="293" customFormat="false" ht="15" hidden="false" customHeight="false" outlineLevel="0" collapsed="false">
      <c r="A293" s="0" t="n">
        <v>10289</v>
      </c>
      <c r="B293" s="3" t="n">
        <v>45317</v>
      </c>
      <c r="C293" s="0" t="n">
        <v>57</v>
      </c>
      <c r="D293" s="4" t="s">
        <v>45</v>
      </c>
      <c r="E293" s="4" t="s">
        <v>24</v>
      </c>
      <c r="F293" s="0" t="n">
        <v>38</v>
      </c>
      <c r="G293" s="5" t="n">
        <v>95.57</v>
      </c>
      <c r="H293" s="6" t="n">
        <v>0.1</v>
      </c>
      <c r="I293" s="5" t="n">
        <f aca="false">F293*G293*(1-H293)</f>
        <v>3268.494</v>
      </c>
      <c r="J293" s="4" t="s">
        <v>15</v>
      </c>
      <c r="K293" s="5" t="n">
        <f aca="false">VLOOKUP(D293,Products!$A$2:$E$26,4,FALSE())</f>
        <v>41.2</v>
      </c>
      <c r="L293" s="6" t="n">
        <f aca="false">(I293-F293*K293)/I293</f>
        <v>0.521002639135945</v>
      </c>
    </row>
    <row r="294" customFormat="false" ht="15" hidden="false" customHeight="false" outlineLevel="0" collapsed="false">
      <c r="A294" s="0" t="n">
        <v>10290</v>
      </c>
      <c r="B294" s="3" t="n">
        <v>45513</v>
      </c>
      <c r="C294" s="0" t="n">
        <v>67</v>
      </c>
      <c r="D294" s="4" t="s">
        <v>26</v>
      </c>
      <c r="E294" s="4" t="s">
        <v>21</v>
      </c>
      <c r="F294" s="0" t="n">
        <v>36</v>
      </c>
      <c r="G294" s="5" t="n">
        <v>52.58</v>
      </c>
      <c r="H294" s="6" t="n">
        <v>0.15</v>
      </c>
      <c r="I294" s="5" t="n">
        <f aca="false">F294*G294*(1-H294)</f>
        <v>1608.948</v>
      </c>
      <c r="J294" s="4" t="s">
        <v>28</v>
      </c>
      <c r="K294" s="5" t="n">
        <f aca="false">VLOOKUP(D294,Products!$A$2:$E$26,4,FALSE())</f>
        <v>22.68</v>
      </c>
      <c r="L294" s="6" t="n">
        <f aca="false">(I294-F294*K294)/I294</f>
        <v>0.49253798133936</v>
      </c>
    </row>
    <row r="295" customFormat="false" ht="15" hidden="false" customHeight="false" outlineLevel="0" collapsed="false">
      <c r="A295" s="0" t="n">
        <v>10291</v>
      </c>
      <c r="B295" s="3" t="n">
        <v>45491</v>
      </c>
      <c r="C295" s="0" t="n">
        <v>28</v>
      </c>
      <c r="D295" s="4" t="s">
        <v>16</v>
      </c>
      <c r="E295" s="4" t="s">
        <v>24</v>
      </c>
      <c r="F295" s="0" t="n">
        <v>29</v>
      </c>
      <c r="G295" s="5" t="n">
        <v>138.9</v>
      </c>
      <c r="H295" s="6" t="n">
        <v>0.15</v>
      </c>
      <c r="I295" s="5" t="n">
        <f aca="false">F295*G295*(1-H295)</f>
        <v>3423.885</v>
      </c>
      <c r="J295" s="4" t="s">
        <v>28</v>
      </c>
      <c r="K295" s="5" t="n">
        <f aca="false">VLOOKUP(D295,Products!$A$2:$E$26,4,FALSE())</f>
        <v>72.1</v>
      </c>
      <c r="L295" s="6" t="n">
        <f aca="false">(I295-F295*K295)/I295</f>
        <v>0.38931944267988</v>
      </c>
    </row>
    <row r="296" customFormat="false" ht="15" hidden="false" customHeight="false" outlineLevel="0" collapsed="false">
      <c r="A296" s="0" t="n">
        <v>10292</v>
      </c>
      <c r="B296" s="3" t="n">
        <v>45560</v>
      </c>
      <c r="C296" s="0" t="n">
        <v>75</v>
      </c>
      <c r="D296" s="4" t="s">
        <v>27</v>
      </c>
      <c r="E296" s="4" t="s">
        <v>24</v>
      </c>
      <c r="F296" s="0" t="n">
        <v>11</v>
      </c>
      <c r="G296" s="5" t="n">
        <v>112.24</v>
      </c>
      <c r="H296" s="6" t="n">
        <v>0.05</v>
      </c>
      <c r="I296" s="5" t="n">
        <f aca="false">F296*G296*(1-H296)</f>
        <v>1172.908</v>
      </c>
      <c r="J296" s="4" t="s">
        <v>28</v>
      </c>
      <c r="K296" s="5" t="n">
        <f aca="false">VLOOKUP(D296,Products!$A$2:$E$26,4,FALSE())</f>
        <v>45.07</v>
      </c>
      <c r="L296" s="6" t="n">
        <f aca="false">(I296-F296*K296)/I296</f>
        <v>0.577315526878493</v>
      </c>
    </row>
    <row r="297" customFormat="false" ht="15" hidden="false" customHeight="false" outlineLevel="0" collapsed="false">
      <c r="A297" s="0" t="n">
        <v>10293</v>
      </c>
      <c r="B297" s="3" t="n">
        <v>45471</v>
      </c>
      <c r="C297" s="0" t="n">
        <v>58</v>
      </c>
      <c r="D297" s="4" t="s">
        <v>37</v>
      </c>
      <c r="E297" s="4" t="s">
        <v>21</v>
      </c>
      <c r="F297" s="0" t="n">
        <v>21</v>
      </c>
      <c r="G297" s="5" t="n">
        <v>7.92</v>
      </c>
      <c r="H297" s="6" t="n">
        <v>0.15</v>
      </c>
      <c r="I297" s="5" t="n">
        <f aca="false">F297*G297*(1-H297)</f>
        <v>141.372</v>
      </c>
      <c r="J297" s="4" t="s">
        <v>18</v>
      </c>
      <c r="K297" s="5" t="n">
        <f aca="false">VLOOKUP(D297,Products!$A$2:$E$26,4,FALSE())</f>
        <v>3.88</v>
      </c>
      <c r="L297" s="6" t="n">
        <f aca="false">(I297-F297*K297)/I297</f>
        <v>0.423648247177659</v>
      </c>
    </row>
    <row r="298" customFormat="false" ht="15" hidden="false" customHeight="false" outlineLevel="0" collapsed="false">
      <c r="A298" s="0" t="n">
        <v>10294</v>
      </c>
      <c r="B298" s="3" t="n">
        <v>45536</v>
      </c>
      <c r="C298" s="0" t="n">
        <v>33</v>
      </c>
      <c r="D298" s="4" t="s">
        <v>30</v>
      </c>
      <c r="E298" s="4" t="s">
        <v>20</v>
      </c>
      <c r="F298" s="0" t="n">
        <v>1</v>
      </c>
      <c r="G298" s="5" t="n">
        <v>203.29</v>
      </c>
      <c r="H298" s="6" t="n">
        <v>0</v>
      </c>
      <c r="I298" s="5" t="n">
        <f aca="false">F298*G298*(1-H298)</f>
        <v>203.29</v>
      </c>
      <c r="J298" s="4" t="s">
        <v>28</v>
      </c>
      <c r="K298" s="5" t="n">
        <f aca="false">VLOOKUP(D298,Products!$A$2:$E$26,4,FALSE())</f>
        <v>97.8</v>
      </c>
      <c r="L298" s="6" t="n">
        <f aca="false">(I298-F298*K298)/I298</f>
        <v>0.518913866889665</v>
      </c>
    </row>
    <row r="299" customFormat="false" ht="15" hidden="false" customHeight="false" outlineLevel="0" collapsed="false">
      <c r="A299" s="0" t="n">
        <v>10295</v>
      </c>
      <c r="B299" s="3" t="n">
        <v>45647</v>
      </c>
      <c r="C299" s="0" t="n">
        <v>63</v>
      </c>
      <c r="D299" s="4" t="s">
        <v>16</v>
      </c>
      <c r="E299" s="4" t="s">
        <v>24</v>
      </c>
      <c r="F299" s="0" t="n">
        <v>2</v>
      </c>
      <c r="G299" s="5" t="n">
        <v>151.37</v>
      </c>
      <c r="H299" s="6" t="n">
        <v>0</v>
      </c>
      <c r="I299" s="5" t="n">
        <f aca="false">F299*G299*(1-H299)</f>
        <v>302.74</v>
      </c>
      <c r="J299" s="4" t="s">
        <v>15</v>
      </c>
      <c r="K299" s="5" t="n">
        <f aca="false">VLOOKUP(D299,Products!$A$2:$E$26,4,FALSE())</f>
        <v>72.1</v>
      </c>
      <c r="L299" s="6" t="n">
        <f aca="false">(I299-F299*K299)/I299</f>
        <v>0.523683688974037</v>
      </c>
    </row>
    <row r="300" customFormat="false" ht="15" hidden="false" customHeight="false" outlineLevel="0" collapsed="false">
      <c r="A300" s="0" t="n">
        <v>10296</v>
      </c>
      <c r="B300" s="3" t="n">
        <v>45540</v>
      </c>
      <c r="C300" s="0" t="n">
        <v>43</v>
      </c>
      <c r="D300" s="4" t="s">
        <v>30</v>
      </c>
      <c r="E300" s="4" t="s">
        <v>14</v>
      </c>
      <c r="F300" s="0" t="n">
        <v>5</v>
      </c>
      <c r="G300" s="5" t="n">
        <v>212.17</v>
      </c>
      <c r="H300" s="6" t="n">
        <v>0.05</v>
      </c>
      <c r="I300" s="5" t="n">
        <f aca="false">F300*G300*(1-H300)</f>
        <v>1007.8075</v>
      </c>
      <c r="J300" s="4" t="s">
        <v>28</v>
      </c>
      <c r="K300" s="5" t="n">
        <f aca="false">VLOOKUP(D300,Products!$A$2:$E$26,4,FALSE())</f>
        <v>97.8</v>
      </c>
      <c r="L300" s="6" t="n">
        <f aca="false">(I300-F300*K300)/I300</f>
        <v>0.514788290422526</v>
      </c>
    </row>
    <row r="301" customFormat="false" ht="15" hidden="false" customHeight="false" outlineLevel="0" collapsed="false">
      <c r="A301" s="0" t="n">
        <v>10297</v>
      </c>
      <c r="B301" s="3" t="n">
        <v>45306</v>
      </c>
      <c r="C301" s="0" t="n">
        <v>27</v>
      </c>
      <c r="D301" s="4" t="s">
        <v>41</v>
      </c>
      <c r="E301" s="4" t="s">
        <v>21</v>
      </c>
      <c r="F301" s="0" t="n">
        <v>31</v>
      </c>
      <c r="G301" s="5" t="n">
        <v>25.76</v>
      </c>
      <c r="H301" s="6" t="n">
        <v>0</v>
      </c>
      <c r="I301" s="5" t="n">
        <f aca="false">F301*G301*(1-H301)</f>
        <v>798.56</v>
      </c>
      <c r="J301" s="4" t="s">
        <v>18</v>
      </c>
      <c r="K301" s="5" t="n">
        <f aca="false">VLOOKUP(D301,Products!$A$2:$E$26,4,FALSE())</f>
        <v>12.46</v>
      </c>
      <c r="L301" s="6" t="n">
        <f aca="false">(I301-F301*K301)/I301</f>
        <v>0.516304347826087</v>
      </c>
    </row>
    <row r="302" customFormat="false" ht="15" hidden="false" customHeight="false" outlineLevel="0" collapsed="false">
      <c r="A302" s="0" t="n">
        <v>10298</v>
      </c>
      <c r="B302" s="3" t="n">
        <v>45571</v>
      </c>
      <c r="C302" s="0" t="n">
        <v>43</v>
      </c>
      <c r="D302" s="4" t="s">
        <v>31</v>
      </c>
      <c r="E302" s="4" t="s">
        <v>21</v>
      </c>
      <c r="F302" s="0" t="n">
        <v>33</v>
      </c>
      <c r="G302" s="5" t="n">
        <v>45.26</v>
      </c>
      <c r="H302" s="6" t="n">
        <v>0.15</v>
      </c>
      <c r="I302" s="5" t="n">
        <f aca="false">F302*G302*(1-H302)</f>
        <v>1269.543</v>
      </c>
      <c r="J302" s="4" t="s">
        <v>15</v>
      </c>
      <c r="K302" s="5" t="n">
        <f aca="false">VLOOKUP(D302,Products!$A$2:$E$26,4,FALSE())</f>
        <v>23.25</v>
      </c>
      <c r="L302" s="6" t="n">
        <f aca="false">(I302-F302*K302)/I302</f>
        <v>0.395648670427075</v>
      </c>
    </row>
    <row r="303" customFormat="false" ht="15" hidden="false" customHeight="false" outlineLevel="0" collapsed="false">
      <c r="A303" s="0" t="n">
        <v>10299</v>
      </c>
      <c r="B303" s="3" t="n">
        <v>45445</v>
      </c>
      <c r="C303" s="0" t="n">
        <v>29</v>
      </c>
      <c r="D303" s="4" t="s">
        <v>33</v>
      </c>
      <c r="E303" s="4" t="s">
        <v>24</v>
      </c>
      <c r="F303" s="0" t="n">
        <v>2</v>
      </c>
      <c r="G303" s="5" t="n">
        <v>44.64</v>
      </c>
      <c r="H303" s="6" t="n">
        <v>0.1</v>
      </c>
      <c r="I303" s="5" t="n">
        <f aca="false">F303*G303*(1-H303)</f>
        <v>80.352</v>
      </c>
      <c r="J303" s="4" t="s">
        <v>15</v>
      </c>
      <c r="K303" s="5" t="n">
        <f aca="false">VLOOKUP(D303,Products!$A$2:$E$26,4,FALSE())</f>
        <v>28.4</v>
      </c>
      <c r="L303" s="6" t="n">
        <f aca="false">(I303-F303*K303)/I303</f>
        <v>0.293110314615691</v>
      </c>
    </row>
    <row r="304" customFormat="false" ht="15" hidden="false" customHeight="false" outlineLevel="0" collapsed="false">
      <c r="A304" s="0" t="n">
        <v>10300</v>
      </c>
      <c r="B304" s="3" t="n">
        <v>45421</v>
      </c>
      <c r="C304" s="0" t="n">
        <v>23</v>
      </c>
      <c r="D304" s="4" t="s">
        <v>29</v>
      </c>
      <c r="E304" s="4" t="s">
        <v>21</v>
      </c>
      <c r="F304" s="0" t="n">
        <v>4</v>
      </c>
      <c r="G304" s="5" t="n">
        <v>75.23</v>
      </c>
      <c r="H304" s="6" t="n">
        <v>0.05</v>
      </c>
      <c r="I304" s="5" t="n">
        <f aca="false">F304*G304*(1-H304)</f>
        <v>285.874</v>
      </c>
      <c r="J304" s="4" t="s">
        <v>18</v>
      </c>
      <c r="K304" s="5" t="n">
        <f aca="false">VLOOKUP(D304,Products!$A$2:$E$26,4,FALSE())</f>
        <v>38.68</v>
      </c>
      <c r="L304" s="6" t="n">
        <f aca="false">(I304-F304*K304)/I304</f>
        <v>0.458782540559827</v>
      </c>
    </row>
    <row r="305" customFormat="false" ht="15" hidden="false" customHeight="false" outlineLevel="0" collapsed="false">
      <c r="A305" s="0" t="n">
        <v>10301</v>
      </c>
      <c r="B305" s="3" t="n">
        <v>45417</v>
      </c>
      <c r="C305" s="0" t="n">
        <v>61</v>
      </c>
      <c r="D305" s="4" t="s">
        <v>26</v>
      </c>
      <c r="E305" s="4" t="s">
        <v>24</v>
      </c>
      <c r="F305" s="0" t="n">
        <v>36</v>
      </c>
      <c r="G305" s="5" t="n">
        <v>55.13</v>
      </c>
      <c r="H305" s="6" t="n">
        <v>0</v>
      </c>
      <c r="I305" s="5" t="n">
        <f aca="false">F305*G305*(1-H305)</f>
        <v>1984.68</v>
      </c>
      <c r="J305" s="4" t="s">
        <v>15</v>
      </c>
      <c r="K305" s="5" t="n">
        <f aca="false">VLOOKUP(D305,Products!$A$2:$E$26,4,FALSE())</f>
        <v>22.68</v>
      </c>
      <c r="L305" s="6" t="n">
        <f aca="false">(I305-F305*K305)/I305</f>
        <v>0.588608742971159</v>
      </c>
    </row>
    <row r="306" customFormat="false" ht="15" hidden="false" customHeight="false" outlineLevel="0" collapsed="false">
      <c r="A306" s="0" t="n">
        <v>10302</v>
      </c>
      <c r="B306" s="3" t="n">
        <v>45621</v>
      </c>
      <c r="C306" s="0" t="n">
        <v>5</v>
      </c>
      <c r="D306" s="4" t="s">
        <v>17</v>
      </c>
      <c r="E306" s="4" t="s">
        <v>21</v>
      </c>
      <c r="F306" s="0" t="n">
        <v>11</v>
      </c>
      <c r="G306" s="5" t="n">
        <v>84.52</v>
      </c>
      <c r="H306" s="6" t="n">
        <v>0</v>
      </c>
      <c r="I306" s="5" t="n">
        <f aca="false">F306*G306*(1-H306)</f>
        <v>929.72</v>
      </c>
      <c r="J306" s="4" t="s">
        <v>28</v>
      </c>
      <c r="K306" s="5" t="n">
        <f aca="false">VLOOKUP(D306,Products!$A$2:$E$26,4,FALSE())</f>
        <v>38.24</v>
      </c>
      <c r="L306" s="6" t="n">
        <f aca="false">(I306-F306*K306)/I306</f>
        <v>0.547562707051585</v>
      </c>
    </row>
    <row r="307" customFormat="false" ht="15" hidden="false" customHeight="false" outlineLevel="0" collapsed="false">
      <c r="A307" s="0" t="n">
        <v>10303</v>
      </c>
      <c r="B307" s="3" t="n">
        <v>45601</v>
      </c>
      <c r="C307" s="0" t="n">
        <v>10</v>
      </c>
      <c r="D307" s="4" t="s">
        <v>41</v>
      </c>
      <c r="E307" s="4" t="s">
        <v>14</v>
      </c>
      <c r="F307" s="0" t="n">
        <v>5</v>
      </c>
      <c r="G307" s="5" t="n">
        <v>26.2</v>
      </c>
      <c r="H307" s="6" t="n">
        <v>0.1</v>
      </c>
      <c r="I307" s="5" t="n">
        <f aca="false">F307*G307*(1-H307)</f>
        <v>117.9</v>
      </c>
      <c r="J307" s="4" t="s">
        <v>15</v>
      </c>
      <c r="K307" s="5" t="n">
        <f aca="false">VLOOKUP(D307,Products!$A$2:$E$26,4,FALSE())</f>
        <v>12.46</v>
      </c>
      <c r="L307" s="6" t="n">
        <f aca="false">(I307-F307*K307)/I307</f>
        <v>0.471586089906701</v>
      </c>
    </row>
    <row r="308" customFormat="false" ht="15" hidden="false" customHeight="false" outlineLevel="0" collapsed="false">
      <c r="A308" s="0" t="n">
        <v>10304</v>
      </c>
      <c r="B308" s="3" t="n">
        <v>45350</v>
      </c>
      <c r="C308" s="0" t="n">
        <v>70</v>
      </c>
      <c r="D308" s="4" t="s">
        <v>44</v>
      </c>
      <c r="E308" s="4" t="s">
        <v>24</v>
      </c>
      <c r="F308" s="0" t="n">
        <v>17</v>
      </c>
      <c r="G308" s="5" t="n">
        <v>29.55</v>
      </c>
      <c r="H308" s="6" t="n">
        <v>0</v>
      </c>
      <c r="I308" s="5" t="n">
        <f aca="false">F308*G308*(1-H308)</f>
        <v>502.35</v>
      </c>
      <c r="J308" s="4" t="s">
        <v>15</v>
      </c>
      <c r="K308" s="5" t="n">
        <f aca="false">VLOOKUP(D308,Products!$A$2:$E$26,4,FALSE())</f>
        <v>18.41</v>
      </c>
      <c r="L308" s="6" t="n">
        <f aca="false">(I308-F308*K308)/I308</f>
        <v>0.376988155668359</v>
      </c>
    </row>
    <row r="309" customFormat="false" ht="15" hidden="false" customHeight="false" outlineLevel="0" collapsed="false">
      <c r="A309" s="0" t="n">
        <v>10305</v>
      </c>
      <c r="B309" s="3" t="n">
        <v>45527</v>
      </c>
      <c r="C309" s="0" t="n">
        <v>63</v>
      </c>
      <c r="D309" s="4" t="s">
        <v>29</v>
      </c>
      <c r="E309" s="4" t="s">
        <v>14</v>
      </c>
      <c r="F309" s="0" t="n">
        <v>27</v>
      </c>
      <c r="G309" s="5" t="n">
        <v>77.89</v>
      </c>
      <c r="H309" s="6" t="n">
        <v>0</v>
      </c>
      <c r="I309" s="5" t="n">
        <f aca="false">F309*G309*(1-H309)</f>
        <v>2103.03</v>
      </c>
      <c r="J309" s="4" t="s">
        <v>28</v>
      </c>
      <c r="K309" s="5" t="n">
        <f aca="false">VLOOKUP(D309,Products!$A$2:$E$26,4,FALSE())</f>
        <v>38.68</v>
      </c>
      <c r="L309" s="6" t="n">
        <f aca="false">(I309-F309*K309)/I309</f>
        <v>0.50340223391963</v>
      </c>
    </row>
    <row r="310" customFormat="false" ht="15" hidden="false" customHeight="false" outlineLevel="0" collapsed="false">
      <c r="A310" s="0" t="n">
        <v>10306</v>
      </c>
      <c r="B310" s="3" t="n">
        <v>45566</v>
      </c>
      <c r="C310" s="0" t="n">
        <v>26</v>
      </c>
      <c r="D310" s="4" t="s">
        <v>26</v>
      </c>
      <c r="E310" s="4" t="s">
        <v>20</v>
      </c>
      <c r="F310" s="0" t="n">
        <v>22</v>
      </c>
      <c r="G310" s="5" t="n">
        <v>51.14</v>
      </c>
      <c r="H310" s="6" t="n">
        <v>0</v>
      </c>
      <c r="I310" s="5" t="n">
        <f aca="false">F310*G310*(1-H310)</f>
        <v>1125.08</v>
      </c>
      <c r="J310" s="4" t="s">
        <v>28</v>
      </c>
      <c r="K310" s="5" t="n">
        <f aca="false">VLOOKUP(D310,Products!$A$2:$E$26,4,FALSE())</f>
        <v>22.68</v>
      </c>
      <c r="L310" s="6" t="n">
        <f aca="false">(I310-F310*K310)/I310</f>
        <v>0.556511536957372</v>
      </c>
    </row>
    <row r="311" customFormat="false" ht="15" hidden="false" customHeight="false" outlineLevel="0" collapsed="false">
      <c r="A311" s="0" t="n">
        <v>10307</v>
      </c>
      <c r="B311" s="3" t="n">
        <v>45445</v>
      </c>
      <c r="C311" s="0" t="n">
        <v>43</v>
      </c>
      <c r="D311" s="4" t="s">
        <v>42</v>
      </c>
      <c r="E311" s="4" t="s">
        <v>21</v>
      </c>
      <c r="F311" s="0" t="n">
        <v>21</v>
      </c>
      <c r="G311" s="5" t="n">
        <v>78.39</v>
      </c>
      <c r="H311" s="6" t="n">
        <v>0</v>
      </c>
      <c r="I311" s="5" t="n">
        <f aca="false">F311*G311*(1-H311)</f>
        <v>1646.19</v>
      </c>
      <c r="J311" s="4" t="s">
        <v>15</v>
      </c>
      <c r="K311" s="5" t="n">
        <f aca="false">VLOOKUP(D311,Products!$A$2:$E$26,4,FALSE())</f>
        <v>47.32</v>
      </c>
      <c r="L311" s="6" t="n">
        <f aca="false">(I311-F311*K311)/I311</f>
        <v>0.396351575456053</v>
      </c>
    </row>
    <row r="312" customFormat="false" ht="15" hidden="false" customHeight="false" outlineLevel="0" collapsed="false">
      <c r="A312" s="0" t="n">
        <v>10308</v>
      </c>
      <c r="B312" s="3" t="n">
        <v>45456</v>
      </c>
      <c r="C312" s="0" t="n">
        <v>15</v>
      </c>
      <c r="D312" s="4" t="s">
        <v>45</v>
      </c>
      <c r="E312" s="4" t="s">
        <v>14</v>
      </c>
      <c r="F312" s="0" t="n">
        <v>15</v>
      </c>
      <c r="G312" s="5" t="n">
        <v>101.49</v>
      </c>
      <c r="H312" s="6" t="n">
        <v>0.15</v>
      </c>
      <c r="I312" s="5" t="n">
        <f aca="false">F312*G312*(1-H312)</f>
        <v>1293.9975</v>
      </c>
      <c r="J312" s="4" t="s">
        <v>15</v>
      </c>
      <c r="K312" s="5" t="n">
        <f aca="false">VLOOKUP(D312,Products!$A$2:$E$26,4,FALSE())</f>
        <v>41.2</v>
      </c>
      <c r="L312" s="6" t="n">
        <f aca="false">(I312-F312*K312)/I312</f>
        <v>0.522410205583859</v>
      </c>
    </row>
    <row r="313" customFormat="false" ht="15" hidden="false" customHeight="false" outlineLevel="0" collapsed="false">
      <c r="A313" s="0" t="n">
        <v>10309</v>
      </c>
      <c r="B313" s="3" t="n">
        <v>45378</v>
      </c>
      <c r="C313" s="0" t="n">
        <v>47</v>
      </c>
      <c r="D313" s="4" t="s">
        <v>35</v>
      </c>
      <c r="E313" s="4" t="s">
        <v>14</v>
      </c>
      <c r="F313" s="0" t="n">
        <v>19</v>
      </c>
      <c r="G313" s="5" t="n">
        <v>369.13</v>
      </c>
      <c r="H313" s="6" t="n">
        <v>0.1</v>
      </c>
      <c r="I313" s="5" t="n">
        <f aca="false">F313*G313*(1-H313)</f>
        <v>6312.123</v>
      </c>
      <c r="J313" s="4" t="s">
        <v>15</v>
      </c>
      <c r="K313" s="5" t="n">
        <f aca="false">VLOOKUP(D313,Products!$A$2:$E$26,4,FALSE())</f>
        <v>244.6</v>
      </c>
      <c r="L313" s="6" t="n">
        <f aca="false">(I313-F313*K313)/I313</f>
        <v>0.26373424598982</v>
      </c>
    </row>
    <row r="314" customFormat="false" ht="15" hidden="false" customHeight="false" outlineLevel="0" collapsed="false">
      <c r="A314" s="0" t="n">
        <v>10310</v>
      </c>
      <c r="B314" s="3" t="n">
        <v>45484</v>
      </c>
      <c r="C314" s="0" t="n">
        <v>32</v>
      </c>
      <c r="D314" s="4" t="s">
        <v>26</v>
      </c>
      <c r="E314" s="4" t="s">
        <v>14</v>
      </c>
      <c r="F314" s="0" t="n">
        <v>11</v>
      </c>
      <c r="G314" s="5" t="n">
        <v>54.18</v>
      </c>
      <c r="H314" s="6" t="n">
        <v>0</v>
      </c>
      <c r="I314" s="5" t="n">
        <f aca="false">F314*G314*(1-H314)</f>
        <v>595.98</v>
      </c>
      <c r="J314" s="4" t="s">
        <v>15</v>
      </c>
      <c r="K314" s="5" t="n">
        <f aca="false">VLOOKUP(D314,Products!$A$2:$E$26,4,FALSE())</f>
        <v>22.68</v>
      </c>
      <c r="L314" s="6" t="n">
        <f aca="false">(I314-F314*K314)/I314</f>
        <v>0.581395348837209</v>
      </c>
    </row>
    <row r="315" customFormat="false" ht="15" hidden="false" customHeight="false" outlineLevel="0" collapsed="false">
      <c r="A315" s="0" t="n">
        <v>10311</v>
      </c>
      <c r="B315" s="3" t="n">
        <v>45517</v>
      </c>
      <c r="C315" s="0" t="n">
        <v>53</v>
      </c>
      <c r="D315" s="4" t="s">
        <v>25</v>
      </c>
      <c r="E315" s="4" t="s">
        <v>21</v>
      </c>
      <c r="F315" s="0" t="n">
        <v>27</v>
      </c>
      <c r="G315" s="5" t="n">
        <v>214.9</v>
      </c>
      <c r="H315" s="6" t="n">
        <v>0</v>
      </c>
      <c r="I315" s="5" t="n">
        <f aca="false">F315*G315*(1-H315)</f>
        <v>5802.3</v>
      </c>
      <c r="J315" s="4" t="s">
        <v>28</v>
      </c>
      <c r="K315" s="5" t="n">
        <f aca="false">VLOOKUP(D315,Products!$A$2:$E$26,4,FALSE())</f>
        <v>128.85</v>
      </c>
      <c r="L315" s="6" t="n">
        <f aca="false">(I315-F315*K315)/I315</f>
        <v>0.400418799441601</v>
      </c>
    </row>
    <row r="316" customFormat="false" ht="15" hidden="false" customHeight="false" outlineLevel="0" collapsed="false">
      <c r="A316" s="0" t="n">
        <v>10312</v>
      </c>
      <c r="B316" s="3" t="n">
        <v>45321</v>
      </c>
      <c r="C316" s="0" t="n">
        <v>78</v>
      </c>
      <c r="D316" s="4" t="s">
        <v>35</v>
      </c>
      <c r="E316" s="4" t="s">
        <v>21</v>
      </c>
      <c r="F316" s="0" t="n">
        <v>36</v>
      </c>
      <c r="G316" s="5" t="n">
        <v>386.61</v>
      </c>
      <c r="H316" s="6" t="n">
        <v>0</v>
      </c>
      <c r="I316" s="5" t="n">
        <f aca="false">F316*G316*(1-H316)</f>
        <v>13917.96</v>
      </c>
      <c r="J316" s="4" t="s">
        <v>28</v>
      </c>
      <c r="K316" s="5" t="n">
        <f aca="false">VLOOKUP(D316,Products!$A$2:$E$26,4,FALSE())</f>
        <v>244.6</v>
      </c>
      <c r="L316" s="6" t="n">
        <f aca="false">(I316-F316*K316)/I316</f>
        <v>0.367321072915858</v>
      </c>
    </row>
    <row r="317" customFormat="false" ht="15" hidden="false" customHeight="false" outlineLevel="0" collapsed="false">
      <c r="A317" s="0" t="n">
        <v>10313</v>
      </c>
      <c r="B317" s="3" t="n">
        <v>45635</v>
      </c>
      <c r="C317" s="0" t="n">
        <v>8</v>
      </c>
      <c r="D317" s="4" t="s">
        <v>27</v>
      </c>
      <c r="E317" s="4" t="s">
        <v>20</v>
      </c>
      <c r="F317" s="0" t="n">
        <v>28</v>
      </c>
      <c r="G317" s="5" t="n">
        <v>114.2</v>
      </c>
      <c r="H317" s="6" t="n">
        <v>0</v>
      </c>
      <c r="I317" s="5" t="n">
        <f aca="false">F317*G317*(1-H317)</f>
        <v>3197.6</v>
      </c>
      <c r="J317" s="4" t="s">
        <v>15</v>
      </c>
      <c r="K317" s="5" t="n">
        <f aca="false">VLOOKUP(D317,Products!$A$2:$E$26,4,FALSE())</f>
        <v>45.07</v>
      </c>
      <c r="L317" s="6" t="n">
        <f aca="false">(I317-F317*K317)/I317</f>
        <v>0.605341506129597</v>
      </c>
    </row>
    <row r="318" customFormat="false" ht="15" hidden="false" customHeight="false" outlineLevel="0" collapsed="false">
      <c r="A318" s="0" t="n">
        <v>10314</v>
      </c>
      <c r="B318" s="3" t="n">
        <v>45433</v>
      </c>
      <c r="C318" s="0" t="n">
        <v>23</v>
      </c>
      <c r="D318" s="4" t="s">
        <v>26</v>
      </c>
      <c r="E318" s="4" t="s">
        <v>21</v>
      </c>
      <c r="F318" s="0" t="n">
        <v>27</v>
      </c>
      <c r="G318" s="5" t="n">
        <v>55.17</v>
      </c>
      <c r="H318" s="6" t="n">
        <v>0.05</v>
      </c>
      <c r="I318" s="5" t="n">
        <f aca="false">F318*G318*(1-H318)</f>
        <v>1415.1105</v>
      </c>
      <c r="J318" s="4" t="s">
        <v>15</v>
      </c>
      <c r="K318" s="5" t="n">
        <f aca="false">VLOOKUP(D318,Products!$A$2:$E$26,4,FALSE())</f>
        <v>22.68</v>
      </c>
      <c r="L318" s="6" t="n">
        <f aca="false">(I318-F318*K318)/I318</f>
        <v>0.567270541770413</v>
      </c>
    </row>
    <row r="319" customFormat="false" ht="15" hidden="false" customHeight="false" outlineLevel="0" collapsed="false">
      <c r="A319" s="0" t="n">
        <v>10315</v>
      </c>
      <c r="B319" s="3" t="n">
        <v>45362</v>
      </c>
      <c r="C319" s="0" t="n">
        <v>29</v>
      </c>
      <c r="D319" s="4" t="s">
        <v>38</v>
      </c>
      <c r="E319" s="4" t="s">
        <v>24</v>
      </c>
      <c r="F319" s="0" t="n">
        <v>24</v>
      </c>
      <c r="G319" s="5" t="n">
        <v>176.77</v>
      </c>
      <c r="H319" s="6" t="n">
        <v>0.15</v>
      </c>
      <c r="I319" s="5" t="n">
        <f aca="false">F319*G319*(1-H319)</f>
        <v>3606.108</v>
      </c>
      <c r="J319" s="4" t="s">
        <v>28</v>
      </c>
      <c r="K319" s="5" t="n">
        <f aca="false">VLOOKUP(D319,Products!$A$2:$E$26,4,FALSE())</f>
        <v>107.25</v>
      </c>
      <c r="L319" s="6" t="n">
        <f aca="false">(I319-F319*K319)/I319</f>
        <v>0.286211061898313</v>
      </c>
    </row>
    <row r="320" customFormat="false" ht="15" hidden="false" customHeight="false" outlineLevel="0" collapsed="false">
      <c r="A320" s="0" t="n">
        <v>10316</v>
      </c>
      <c r="B320" s="3" t="n">
        <v>45328</v>
      </c>
      <c r="C320" s="0" t="n">
        <v>37</v>
      </c>
      <c r="D320" s="4" t="s">
        <v>35</v>
      </c>
      <c r="E320" s="4" t="s">
        <v>14</v>
      </c>
      <c r="F320" s="0" t="n">
        <v>33</v>
      </c>
      <c r="G320" s="5" t="n">
        <v>378.08</v>
      </c>
      <c r="H320" s="6" t="n">
        <v>0</v>
      </c>
      <c r="I320" s="5" t="n">
        <f aca="false">F320*G320*(1-H320)</f>
        <v>12476.64</v>
      </c>
      <c r="J320" s="4" t="s">
        <v>15</v>
      </c>
      <c r="K320" s="5" t="n">
        <f aca="false">VLOOKUP(D320,Products!$A$2:$E$26,4,FALSE())</f>
        <v>244.6</v>
      </c>
      <c r="L320" s="6" t="n">
        <f aca="false">(I320-F320*K320)/I320</f>
        <v>0.353046974185358</v>
      </c>
    </row>
    <row r="321" customFormat="false" ht="15" hidden="false" customHeight="false" outlineLevel="0" collapsed="false">
      <c r="A321" s="0" t="n">
        <v>10317</v>
      </c>
      <c r="B321" s="3" t="n">
        <v>45596</v>
      </c>
      <c r="C321" s="0" t="n">
        <v>25</v>
      </c>
      <c r="D321" s="4" t="s">
        <v>30</v>
      </c>
      <c r="E321" s="4" t="s">
        <v>21</v>
      </c>
      <c r="F321" s="0" t="n">
        <v>12</v>
      </c>
      <c r="G321" s="5" t="n">
        <v>209.83</v>
      </c>
      <c r="H321" s="6" t="n">
        <v>0</v>
      </c>
      <c r="I321" s="5" t="n">
        <f aca="false">F321*G321*(1-H321)</f>
        <v>2517.96</v>
      </c>
      <c r="J321" s="4" t="s">
        <v>15</v>
      </c>
      <c r="K321" s="5" t="n">
        <f aca="false">VLOOKUP(D321,Products!$A$2:$E$26,4,FALSE())</f>
        <v>97.8</v>
      </c>
      <c r="L321" s="6" t="n">
        <f aca="false">(I321-F321*K321)/I321</f>
        <v>0.533908402039747</v>
      </c>
    </row>
    <row r="322" customFormat="false" ht="15" hidden="false" customHeight="false" outlineLevel="0" collapsed="false">
      <c r="A322" s="0" t="n">
        <v>10318</v>
      </c>
      <c r="B322" s="3" t="n">
        <v>45408</v>
      </c>
      <c r="C322" s="0" t="n">
        <v>58</v>
      </c>
      <c r="D322" s="4" t="s">
        <v>17</v>
      </c>
      <c r="E322" s="4" t="s">
        <v>14</v>
      </c>
      <c r="F322" s="0" t="n">
        <v>25</v>
      </c>
      <c r="G322" s="5" t="n">
        <v>83.57</v>
      </c>
      <c r="H322" s="6" t="n">
        <v>0.15</v>
      </c>
      <c r="I322" s="5" t="n">
        <f aca="false">F322*G322*(1-H322)</f>
        <v>1775.8625</v>
      </c>
      <c r="J322" s="4" t="s">
        <v>15</v>
      </c>
      <c r="K322" s="5" t="n">
        <f aca="false">VLOOKUP(D322,Products!$A$2:$E$26,4,FALSE())</f>
        <v>38.24</v>
      </c>
      <c r="L322" s="6" t="n">
        <f aca="false">(I322-F322*K322)/I322</f>
        <v>0.461670033575235</v>
      </c>
    </row>
    <row r="323" customFormat="false" ht="15" hidden="false" customHeight="false" outlineLevel="0" collapsed="false">
      <c r="A323" s="0" t="n">
        <v>10319</v>
      </c>
      <c r="B323" s="3" t="n">
        <v>45450</v>
      </c>
      <c r="C323" s="0" t="n">
        <v>63</v>
      </c>
      <c r="D323" s="4" t="s">
        <v>36</v>
      </c>
      <c r="E323" s="4" t="s">
        <v>20</v>
      </c>
      <c r="F323" s="0" t="n">
        <v>18</v>
      </c>
      <c r="G323" s="5" t="n">
        <v>53.96</v>
      </c>
      <c r="H323" s="6" t="n">
        <v>0</v>
      </c>
      <c r="I323" s="5" t="n">
        <f aca="false">F323*G323*(1-H323)</f>
        <v>971.28</v>
      </c>
      <c r="J323" s="4" t="s">
        <v>18</v>
      </c>
      <c r="K323" s="5" t="n">
        <f aca="false">VLOOKUP(D323,Products!$A$2:$E$26,4,FALSE())</f>
        <v>23.74</v>
      </c>
      <c r="L323" s="6" t="n">
        <f aca="false">(I323-F323*K323)/I323</f>
        <v>0.56004447739066</v>
      </c>
    </row>
    <row r="324" customFormat="false" ht="15" hidden="false" customHeight="false" outlineLevel="0" collapsed="false">
      <c r="A324" s="0" t="n">
        <v>10320</v>
      </c>
      <c r="B324" s="3" t="n">
        <v>45353</v>
      </c>
      <c r="C324" s="0" t="n">
        <v>27</v>
      </c>
      <c r="D324" s="4" t="s">
        <v>33</v>
      </c>
      <c r="E324" s="4" t="s">
        <v>20</v>
      </c>
      <c r="F324" s="0" t="n">
        <v>14</v>
      </c>
      <c r="G324" s="5" t="n">
        <v>43.41</v>
      </c>
      <c r="H324" s="6" t="n">
        <v>0</v>
      </c>
      <c r="I324" s="5" t="n">
        <f aca="false">F324*G324*(1-H324)</f>
        <v>607.74</v>
      </c>
      <c r="J324" s="4" t="s">
        <v>18</v>
      </c>
      <c r="K324" s="5" t="n">
        <f aca="false">VLOOKUP(D324,Products!$A$2:$E$26,4,FALSE())</f>
        <v>28.4</v>
      </c>
      <c r="L324" s="6" t="n">
        <f aca="false">(I324-F324*K324)/I324</f>
        <v>0.345772863395531</v>
      </c>
    </row>
    <row r="325" customFormat="false" ht="15" hidden="false" customHeight="false" outlineLevel="0" collapsed="false">
      <c r="A325" s="0" t="n">
        <v>10321</v>
      </c>
      <c r="B325" s="3" t="n">
        <v>45294</v>
      </c>
      <c r="C325" s="0" t="n">
        <v>48</v>
      </c>
      <c r="D325" s="4" t="s">
        <v>16</v>
      </c>
      <c r="E325" s="4" t="s">
        <v>24</v>
      </c>
      <c r="F325" s="0" t="n">
        <v>3</v>
      </c>
      <c r="G325" s="5" t="n">
        <v>148.81</v>
      </c>
      <c r="H325" s="6" t="n">
        <v>0</v>
      </c>
      <c r="I325" s="5" t="n">
        <f aca="false">F325*G325*(1-H325)</f>
        <v>446.43</v>
      </c>
      <c r="J325" s="4" t="s">
        <v>15</v>
      </c>
      <c r="K325" s="5" t="n">
        <f aca="false">VLOOKUP(D325,Products!$A$2:$E$26,4,FALSE())</f>
        <v>72.1</v>
      </c>
      <c r="L325" s="6" t="n">
        <f aca="false">(I325-F325*K325)/I325</f>
        <v>0.515489550433439</v>
      </c>
    </row>
    <row r="326" customFormat="false" ht="15" hidden="false" customHeight="false" outlineLevel="0" collapsed="false">
      <c r="A326" s="0" t="n">
        <v>10322</v>
      </c>
      <c r="B326" s="3" t="n">
        <v>45573</v>
      </c>
      <c r="C326" s="0" t="n">
        <v>32</v>
      </c>
      <c r="D326" s="4" t="s">
        <v>41</v>
      </c>
      <c r="E326" s="4" t="s">
        <v>21</v>
      </c>
      <c r="F326" s="0" t="n">
        <v>29</v>
      </c>
      <c r="G326" s="5" t="n">
        <v>26.23</v>
      </c>
      <c r="H326" s="6" t="n">
        <v>0.15</v>
      </c>
      <c r="I326" s="5" t="n">
        <f aca="false">F326*G326*(1-H326)</f>
        <v>646.5695</v>
      </c>
      <c r="J326" s="4" t="s">
        <v>15</v>
      </c>
      <c r="K326" s="5" t="n">
        <f aca="false">VLOOKUP(D326,Products!$A$2:$E$26,4,FALSE())</f>
        <v>12.46</v>
      </c>
      <c r="L326" s="6" t="n">
        <f aca="false">(I326-F326*K326)/I326</f>
        <v>0.441142831513086</v>
      </c>
    </row>
    <row r="327" customFormat="false" ht="15" hidden="false" customHeight="false" outlineLevel="0" collapsed="false">
      <c r="A327" s="0" t="n">
        <v>10323</v>
      </c>
      <c r="B327" s="3" t="n">
        <v>45365</v>
      </c>
      <c r="C327" s="0" t="n">
        <v>75</v>
      </c>
      <c r="D327" s="4" t="s">
        <v>30</v>
      </c>
      <c r="E327" s="4" t="s">
        <v>14</v>
      </c>
      <c r="F327" s="0" t="n">
        <v>24</v>
      </c>
      <c r="G327" s="5" t="n">
        <v>210.92</v>
      </c>
      <c r="H327" s="6" t="n">
        <v>0.05</v>
      </c>
      <c r="I327" s="5" t="n">
        <f aca="false">F327*G327*(1-H327)</f>
        <v>4808.976</v>
      </c>
      <c r="J327" s="4" t="s">
        <v>28</v>
      </c>
      <c r="K327" s="5" t="n">
        <f aca="false">VLOOKUP(D327,Products!$A$2:$E$26,4,FALSE())</f>
        <v>97.8</v>
      </c>
      <c r="L327" s="6" t="n">
        <f aca="false">(I327-F327*K327)/I327</f>
        <v>0.511912723207602</v>
      </c>
    </row>
    <row r="328" customFormat="false" ht="15" hidden="false" customHeight="false" outlineLevel="0" collapsed="false">
      <c r="A328" s="0" t="n">
        <v>10324</v>
      </c>
      <c r="B328" s="3" t="n">
        <v>45545</v>
      </c>
      <c r="C328" s="0" t="n">
        <v>23</v>
      </c>
      <c r="D328" s="4" t="s">
        <v>32</v>
      </c>
      <c r="E328" s="4" t="s">
        <v>14</v>
      </c>
      <c r="F328" s="0" t="n">
        <v>22</v>
      </c>
      <c r="G328" s="5" t="n">
        <v>346.09</v>
      </c>
      <c r="H328" s="6" t="n">
        <v>0.15</v>
      </c>
      <c r="I328" s="5" t="n">
        <f aca="false">F328*G328*(1-H328)</f>
        <v>6471.883</v>
      </c>
      <c r="J328" s="4" t="s">
        <v>15</v>
      </c>
      <c r="K328" s="5" t="n">
        <f aca="false">VLOOKUP(D328,Products!$A$2:$E$26,4,FALSE())</f>
        <v>144.3</v>
      </c>
      <c r="L328" s="6" t="n">
        <f aca="false">(I328-F328*K328)/I328</f>
        <v>0.5094781534215</v>
      </c>
    </row>
    <row r="329" customFormat="false" ht="15" hidden="false" customHeight="false" outlineLevel="0" collapsed="false">
      <c r="A329" s="0" t="n">
        <v>10325</v>
      </c>
      <c r="B329" s="3" t="n">
        <v>45609</v>
      </c>
      <c r="C329" s="0" t="n">
        <v>65</v>
      </c>
      <c r="D329" s="4" t="s">
        <v>35</v>
      </c>
      <c r="E329" s="4" t="s">
        <v>20</v>
      </c>
      <c r="F329" s="0" t="n">
        <v>25</v>
      </c>
      <c r="G329" s="5" t="n">
        <v>388.68</v>
      </c>
      <c r="H329" s="6" t="n">
        <v>0</v>
      </c>
      <c r="I329" s="5" t="n">
        <f aca="false">F329*G329*(1-H329)</f>
        <v>9717</v>
      </c>
      <c r="J329" s="4" t="s">
        <v>15</v>
      </c>
      <c r="K329" s="5" t="n">
        <f aca="false">VLOOKUP(D329,Products!$A$2:$E$26,4,FALSE())</f>
        <v>244.6</v>
      </c>
      <c r="L329" s="6" t="n">
        <f aca="false">(I329-F329*K329)/I329</f>
        <v>0.370690542348461</v>
      </c>
    </row>
    <row r="330" customFormat="false" ht="15" hidden="false" customHeight="false" outlineLevel="0" collapsed="false">
      <c r="A330" s="0" t="n">
        <v>10326</v>
      </c>
      <c r="B330" s="3" t="n">
        <v>45413</v>
      </c>
      <c r="C330" s="0" t="n">
        <v>8</v>
      </c>
      <c r="D330" s="4" t="s">
        <v>41</v>
      </c>
      <c r="E330" s="4" t="s">
        <v>24</v>
      </c>
      <c r="F330" s="0" t="n">
        <v>11</v>
      </c>
      <c r="G330" s="5" t="n">
        <v>26.68</v>
      </c>
      <c r="H330" s="6" t="n">
        <v>0.05</v>
      </c>
      <c r="I330" s="5" t="n">
        <f aca="false">F330*G330*(1-H330)</f>
        <v>278.806</v>
      </c>
      <c r="J330" s="4" t="s">
        <v>15</v>
      </c>
      <c r="K330" s="5" t="n">
        <f aca="false">VLOOKUP(D330,Products!$A$2:$E$26,4,FALSE())</f>
        <v>12.46</v>
      </c>
      <c r="L330" s="6" t="n">
        <f aca="false">(I330-F330*K330)/I330</f>
        <v>0.508403692890397</v>
      </c>
    </row>
    <row r="331" customFormat="false" ht="15" hidden="false" customHeight="false" outlineLevel="0" collapsed="false">
      <c r="A331" s="0" t="n">
        <v>10327</v>
      </c>
      <c r="B331" s="3" t="n">
        <v>45549</v>
      </c>
      <c r="C331" s="0" t="n">
        <v>7</v>
      </c>
      <c r="D331" s="4" t="s">
        <v>31</v>
      </c>
      <c r="E331" s="4" t="s">
        <v>21</v>
      </c>
      <c r="F331" s="0" t="n">
        <v>33</v>
      </c>
      <c r="G331" s="5" t="n">
        <v>42.24</v>
      </c>
      <c r="H331" s="6" t="n">
        <v>0</v>
      </c>
      <c r="I331" s="5" t="n">
        <f aca="false">F331*G331*(1-H331)</f>
        <v>1393.92</v>
      </c>
      <c r="J331" s="4" t="s">
        <v>28</v>
      </c>
      <c r="K331" s="5" t="n">
        <f aca="false">VLOOKUP(D331,Products!$A$2:$E$26,4,FALSE())</f>
        <v>23.25</v>
      </c>
      <c r="L331" s="6" t="n">
        <f aca="false">(I331-F331*K331)/I331</f>
        <v>0.449573863636364</v>
      </c>
    </row>
    <row r="332" customFormat="false" ht="15" hidden="false" customHeight="false" outlineLevel="0" collapsed="false">
      <c r="A332" s="0" t="n">
        <v>10328</v>
      </c>
      <c r="B332" s="3" t="n">
        <v>45437</v>
      </c>
      <c r="C332" s="0" t="n">
        <v>14</v>
      </c>
      <c r="D332" s="4" t="s">
        <v>26</v>
      </c>
      <c r="E332" s="4" t="s">
        <v>21</v>
      </c>
      <c r="F332" s="0" t="n">
        <v>29</v>
      </c>
      <c r="G332" s="5" t="n">
        <v>53.61</v>
      </c>
      <c r="H332" s="6" t="n">
        <v>0.1</v>
      </c>
      <c r="I332" s="5" t="n">
        <f aca="false">F332*G332*(1-H332)</f>
        <v>1399.221</v>
      </c>
      <c r="J332" s="4" t="s">
        <v>18</v>
      </c>
      <c r="K332" s="5" t="n">
        <f aca="false">VLOOKUP(D332,Products!$A$2:$E$26,4,FALSE())</f>
        <v>22.68</v>
      </c>
      <c r="L332" s="6" t="n">
        <f aca="false">(I332-F332*K332)/I332</f>
        <v>0.52993844432009</v>
      </c>
    </row>
    <row r="333" customFormat="false" ht="15" hidden="false" customHeight="false" outlineLevel="0" collapsed="false">
      <c r="A333" s="0" t="n">
        <v>10329</v>
      </c>
      <c r="B333" s="3" t="n">
        <v>45545</v>
      </c>
      <c r="C333" s="0" t="n">
        <v>61</v>
      </c>
      <c r="D333" s="4" t="s">
        <v>27</v>
      </c>
      <c r="E333" s="4" t="s">
        <v>20</v>
      </c>
      <c r="F333" s="0" t="n">
        <v>16</v>
      </c>
      <c r="G333" s="5" t="n">
        <v>120.05</v>
      </c>
      <c r="H333" s="6" t="n">
        <v>0</v>
      </c>
      <c r="I333" s="5" t="n">
        <f aca="false">F333*G333*(1-H333)</f>
        <v>1920.8</v>
      </c>
      <c r="J333" s="4" t="s">
        <v>28</v>
      </c>
      <c r="K333" s="5" t="n">
        <f aca="false">VLOOKUP(D333,Products!$A$2:$E$26,4,FALSE())</f>
        <v>45.07</v>
      </c>
      <c r="L333" s="6" t="n">
        <f aca="false">(I333-F333*K333)/I333</f>
        <v>0.62457309454394</v>
      </c>
    </row>
    <row r="334" customFormat="false" ht="15" hidden="false" customHeight="false" outlineLevel="0" collapsed="false">
      <c r="A334" s="0" t="n">
        <v>10330</v>
      </c>
      <c r="B334" s="3" t="n">
        <v>45456</v>
      </c>
      <c r="C334" s="0" t="n">
        <v>80</v>
      </c>
      <c r="D334" s="4" t="s">
        <v>38</v>
      </c>
      <c r="E334" s="4" t="s">
        <v>14</v>
      </c>
      <c r="F334" s="0" t="n">
        <v>11</v>
      </c>
      <c r="G334" s="5" t="n">
        <v>167.19</v>
      </c>
      <c r="H334" s="6" t="n">
        <v>0</v>
      </c>
      <c r="I334" s="5" t="n">
        <f aca="false">F334*G334*(1-H334)</f>
        <v>1839.09</v>
      </c>
      <c r="J334" s="4" t="s">
        <v>15</v>
      </c>
      <c r="K334" s="5" t="n">
        <f aca="false">VLOOKUP(D334,Products!$A$2:$E$26,4,FALSE())</f>
        <v>107.25</v>
      </c>
      <c r="L334" s="6" t="n">
        <f aca="false">(I334-F334*K334)/I334</f>
        <v>0.358514265207249</v>
      </c>
    </row>
    <row r="335" customFormat="false" ht="15" hidden="false" customHeight="false" outlineLevel="0" collapsed="false">
      <c r="A335" s="0" t="n">
        <v>10331</v>
      </c>
      <c r="B335" s="3" t="n">
        <v>45635</v>
      </c>
      <c r="C335" s="0" t="n">
        <v>79</v>
      </c>
      <c r="D335" s="4" t="s">
        <v>36</v>
      </c>
      <c r="E335" s="4" t="s">
        <v>24</v>
      </c>
      <c r="F335" s="0" t="n">
        <v>12</v>
      </c>
      <c r="G335" s="5" t="n">
        <v>50.85</v>
      </c>
      <c r="H335" s="6" t="n">
        <v>0</v>
      </c>
      <c r="I335" s="5" t="n">
        <f aca="false">F335*G335*(1-H335)</f>
        <v>610.2</v>
      </c>
      <c r="J335" s="4" t="s">
        <v>15</v>
      </c>
      <c r="K335" s="5" t="n">
        <f aca="false">VLOOKUP(D335,Products!$A$2:$E$26,4,FALSE())</f>
        <v>23.74</v>
      </c>
      <c r="L335" s="6" t="n">
        <f aca="false">(I335-F335*K335)/I335</f>
        <v>0.533136676499508</v>
      </c>
    </row>
    <row r="336" customFormat="false" ht="15" hidden="false" customHeight="false" outlineLevel="0" collapsed="false">
      <c r="A336" s="0" t="n">
        <v>10332</v>
      </c>
      <c r="B336" s="3" t="n">
        <v>45650</v>
      </c>
      <c r="C336" s="0" t="n">
        <v>32</v>
      </c>
      <c r="D336" s="4" t="s">
        <v>27</v>
      </c>
      <c r="E336" s="4" t="s">
        <v>14</v>
      </c>
      <c r="F336" s="0" t="n">
        <v>18</v>
      </c>
      <c r="G336" s="5" t="n">
        <v>116.39</v>
      </c>
      <c r="H336" s="6" t="n">
        <v>0.15</v>
      </c>
      <c r="I336" s="5" t="n">
        <f aca="false">F336*G336*(1-H336)</f>
        <v>1780.767</v>
      </c>
      <c r="J336" s="4" t="s">
        <v>18</v>
      </c>
      <c r="K336" s="5" t="n">
        <f aca="false">VLOOKUP(D336,Products!$A$2:$E$26,4,FALSE())</f>
        <v>45.07</v>
      </c>
      <c r="L336" s="6" t="n">
        <f aca="false">(I336-F336*K336)/I336</f>
        <v>0.544432258684039</v>
      </c>
    </row>
    <row r="337" customFormat="false" ht="15" hidden="false" customHeight="false" outlineLevel="0" collapsed="false">
      <c r="A337" s="0" t="n">
        <v>10333</v>
      </c>
      <c r="B337" s="3" t="n">
        <v>45421</v>
      </c>
      <c r="C337" s="0" t="n">
        <v>47</v>
      </c>
      <c r="D337" s="4" t="s">
        <v>41</v>
      </c>
      <c r="E337" s="4" t="s">
        <v>24</v>
      </c>
      <c r="F337" s="4" t="s">
        <v>47</v>
      </c>
      <c r="G337" s="5" t="n">
        <v>25.16</v>
      </c>
      <c r="H337" s="6" t="n">
        <v>0.15</v>
      </c>
      <c r="I337" s="5" t="n">
        <f aca="false">F337*G337*(1-H337)</f>
        <v>748.51</v>
      </c>
      <c r="J337" s="4" t="s">
        <v>15</v>
      </c>
      <c r="K337" s="5" t="n">
        <f aca="false">VLOOKUP(D337,Products!$A$2:$E$26,4,FALSE())</f>
        <v>12.46</v>
      </c>
      <c r="L337" s="6" t="n">
        <f aca="false">(I337-F337*K337)/I337</f>
        <v>0.417375853362013</v>
      </c>
    </row>
    <row r="338" customFormat="false" ht="15" hidden="false" customHeight="false" outlineLevel="0" collapsed="false">
      <c r="A338" s="0" t="n">
        <v>10334</v>
      </c>
      <c r="B338" s="3" t="n">
        <v>45554</v>
      </c>
      <c r="C338" s="0" t="n">
        <v>37</v>
      </c>
      <c r="D338" s="4" t="s">
        <v>25</v>
      </c>
      <c r="E338" s="4" t="s">
        <v>20</v>
      </c>
      <c r="F338" s="0" t="n">
        <v>11</v>
      </c>
      <c r="G338" s="5" t="n">
        <v>206</v>
      </c>
      <c r="H338" s="6" t="n">
        <v>0.05</v>
      </c>
      <c r="I338" s="5" t="n">
        <f aca="false">F338*G338*(1-H338)</f>
        <v>2152.7</v>
      </c>
      <c r="J338" s="4" t="s">
        <v>18</v>
      </c>
      <c r="K338" s="5" t="n">
        <f aca="false">VLOOKUP(D338,Products!$A$2:$E$26,4,FALSE())</f>
        <v>128.85</v>
      </c>
      <c r="L338" s="6" t="n">
        <f aca="false">(I338-F338*K338)/I338</f>
        <v>0.341594276954522</v>
      </c>
    </row>
    <row r="339" customFormat="false" ht="15" hidden="false" customHeight="false" outlineLevel="0" collapsed="false">
      <c r="A339" s="0" t="n">
        <v>10335</v>
      </c>
      <c r="B339" s="3" t="n">
        <v>45656</v>
      </c>
      <c r="C339" s="0" t="n">
        <v>73</v>
      </c>
      <c r="D339" s="4" t="s">
        <v>38</v>
      </c>
      <c r="E339" s="4" t="s">
        <v>14</v>
      </c>
      <c r="F339" s="0" t="n">
        <v>4</v>
      </c>
      <c r="G339" s="5" t="n">
        <v>180.43</v>
      </c>
      <c r="H339" s="6" t="n">
        <v>0</v>
      </c>
      <c r="I339" s="5" t="n">
        <f aca="false">F339*G339*(1-H339)</f>
        <v>721.72</v>
      </c>
      <c r="J339" s="4" t="s">
        <v>15</v>
      </c>
      <c r="K339" s="5" t="n">
        <f aca="false">VLOOKUP(D339,Products!$A$2:$E$26,4,FALSE())</f>
        <v>107.25</v>
      </c>
      <c r="L339" s="6" t="n">
        <f aca="false">(I339-F339*K339)/I339</f>
        <v>0.405586654104085</v>
      </c>
    </row>
    <row r="340" customFormat="false" ht="15" hidden="false" customHeight="false" outlineLevel="0" collapsed="false">
      <c r="A340" s="0" t="n">
        <v>10336</v>
      </c>
      <c r="B340" s="3" t="n">
        <v>45551</v>
      </c>
      <c r="C340" s="0" t="n">
        <v>25</v>
      </c>
      <c r="D340" s="4" t="s">
        <v>34</v>
      </c>
      <c r="E340" s="4" t="s">
        <v>20</v>
      </c>
      <c r="F340" s="0" t="n">
        <v>33</v>
      </c>
      <c r="G340" s="5" t="n">
        <v>21.01</v>
      </c>
      <c r="H340" s="6" t="n">
        <v>0</v>
      </c>
      <c r="I340" s="5" t="n">
        <f aca="false">F340*G340*(1-H340)</f>
        <v>693.33</v>
      </c>
      <c r="J340" s="4" t="s">
        <v>15</v>
      </c>
      <c r="K340" s="5" t="n">
        <f aca="false">VLOOKUP(D340,Products!$A$2:$E$26,4,FALSE())</f>
        <v>14.34</v>
      </c>
      <c r="L340" s="6" t="n">
        <f aca="false">(I340-F340*K340)/I340</f>
        <v>0.317467872441695</v>
      </c>
    </row>
    <row r="341" customFormat="false" ht="15" hidden="false" customHeight="false" outlineLevel="0" collapsed="false">
      <c r="A341" s="0" t="n">
        <v>10337</v>
      </c>
      <c r="B341" s="3" t="n">
        <v>45638</v>
      </c>
      <c r="C341" s="0" t="n">
        <v>68</v>
      </c>
      <c r="D341" s="4" t="s">
        <v>13</v>
      </c>
      <c r="E341" s="4" t="s">
        <v>24</v>
      </c>
      <c r="F341" s="0" t="n">
        <v>29</v>
      </c>
      <c r="G341" s="5" t="n">
        <v>95.44</v>
      </c>
      <c r="H341" s="6" t="n">
        <v>0.1</v>
      </c>
      <c r="I341" s="5" t="n">
        <f aca="false">F341*G341*(1-H341)</f>
        <v>2490.984</v>
      </c>
      <c r="J341" s="4" t="s">
        <v>15</v>
      </c>
      <c r="K341" s="5" t="n">
        <f aca="false">VLOOKUP(D341,Products!$A$2:$E$26,4,FALSE())</f>
        <v>39.86</v>
      </c>
      <c r="L341" s="6" t="n">
        <f aca="false">(I341-F341*K341)/I341</f>
        <v>0.535950451709043</v>
      </c>
    </row>
    <row r="342" customFormat="false" ht="15" hidden="false" customHeight="false" outlineLevel="0" collapsed="false">
      <c r="A342" s="0" t="n">
        <v>10338</v>
      </c>
      <c r="B342" s="3" t="n">
        <v>45500</v>
      </c>
      <c r="C342" s="0" t="n">
        <v>54</v>
      </c>
      <c r="D342" s="4" t="s">
        <v>38</v>
      </c>
      <c r="E342" s="4" t="s">
        <v>21</v>
      </c>
      <c r="F342" s="0" t="n">
        <v>36</v>
      </c>
      <c r="G342" s="5" t="n">
        <v>180.8</v>
      </c>
      <c r="H342" s="6" t="n">
        <v>0.05</v>
      </c>
      <c r="I342" s="5" t="n">
        <f aca="false">F342*G342*(1-H342)</f>
        <v>6183.36</v>
      </c>
      <c r="J342" s="4" t="s">
        <v>15</v>
      </c>
      <c r="K342" s="5" t="n">
        <f aca="false">VLOOKUP(D342,Products!$A$2:$E$26,4,FALSE())</f>
        <v>107.25</v>
      </c>
      <c r="L342" s="6" t="n">
        <f aca="false">(I342-F342*K342)/I342</f>
        <v>0.375582207731719</v>
      </c>
    </row>
    <row r="343" customFormat="false" ht="15" hidden="false" customHeight="false" outlineLevel="0" collapsed="false">
      <c r="A343" s="0" t="n">
        <v>10339</v>
      </c>
      <c r="B343" s="3" t="n">
        <v>45465</v>
      </c>
      <c r="C343" s="0" t="n">
        <v>41</v>
      </c>
      <c r="D343" s="4" t="s">
        <v>34</v>
      </c>
      <c r="E343" s="4" t="s">
        <v>21</v>
      </c>
      <c r="F343" s="0" t="n">
        <v>34</v>
      </c>
      <c r="G343" s="5" t="n">
        <v>22.43</v>
      </c>
      <c r="H343" s="6" t="n">
        <v>0</v>
      </c>
      <c r="I343" s="5" t="n">
        <f aca="false">F343*G343*(1-H343)</f>
        <v>762.62</v>
      </c>
      <c r="J343" s="4" t="s">
        <v>18</v>
      </c>
      <c r="K343" s="5" t="n">
        <f aca="false">VLOOKUP(D343,Products!$A$2:$E$26,4,FALSE())</f>
        <v>14.34</v>
      </c>
      <c r="L343" s="6" t="n">
        <f aca="false">(I343-F343*K343)/I343</f>
        <v>0.360677663843067</v>
      </c>
    </row>
    <row r="344" customFormat="false" ht="15" hidden="false" customHeight="false" outlineLevel="0" collapsed="false">
      <c r="A344" s="0" t="n">
        <v>10340</v>
      </c>
      <c r="B344" s="3" t="n">
        <v>45431</v>
      </c>
      <c r="C344" s="0" t="n">
        <v>54</v>
      </c>
      <c r="D344" s="4" t="s">
        <v>22</v>
      </c>
      <c r="E344" s="4" t="s">
        <v>20</v>
      </c>
      <c r="F344" s="0" t="n">
        <v>10</v>
      </c>
      <c r="G344" s="5" t="n">
        <v>49.39</v>
      </c>
      <c r="H344" s="6" t="n">
        <v>0.05</v>
      </c>
      <c r="I344" s="5" t="n">
        <f aca="false">F344*G344*(1-H344)</f>
        <v>469.205</v>
      </c>
      <c r="J344" s="4" t="s">
        <v>18</v>
      </c>
      <c r="K344" s="5" t="n">
        <f aca="false">VLOOKUP(D344,Products!$A$2:$E$26,4,FALSE())</f>
        <v>26.06</v>
      </c>
      <c r="L344" s="6" t="n">
        <f aca="false">(I344-F344*K344)/I344</f>
        <v>0.444592448929572</v>
      </c>
    </row>
    <row r="345" customFormat="false" ht="15" hidden="false" customHeight="false" outlineLevel="0" collapsed="false">
      <c r="A345" s="0" t="n">
        <v>10341</v>
      </c>
      <c r="B345" s="3" t="n">
        <v>45640</v>
      </c>
      <c r="C345" s="0" t="n">
        <v>63</v>
      </c>
      <c r="D345" s="4" t="s">
        <v>19</v>
      </c>
      <c r="E345" s="4" t="s">
        <v>20</v>
      </c>
      <c r="F345" s="0" t="n">
        <v>8</v>
      </c>
      <c r="G345" s="5" t="n">
        <v>205.84</v>
      </c>
      <c r="H345" s="6" t="n">
        <v>0.05</v>
      </c>
      <c r="I345" s="5" t="n">
        <f aca="false">F345*G345*(1-H345)</f>
        <v>1564.384</v>
      </c>
      <c r="J345" s="4" t="s">
        <v>28</v>
      </c>
      <c r="K345" s="5" t="n">
        <f aca="false">VLOOKUP(D345,Products!$A$2:$E$26,4,FALSE())</f>
        <v>83.93</v>
      </c>
      <c r="L345" s="6" t="n">
        <f aca="false">(I345-F345*K345)/I345</f>
        <v>0.57079591711498</v>
      </c>
    </row>
    <row r="346" customFormat="false" ht="15" hidden="false" customHeight="false" outlineLevel="0" collapsed="false">
      <c r="A346" s="0" t="n">
        <v>10342</v>
      </c>
      <c r="B346" s="3" t="n">
        <v>45315</v>
      </c>
      <c r="C346" s="0" t="n">
        <v>44</v>
      </c>
      <c r="D346" s="4" t="s">
        <v>19</v>
      </c>
      <c r="E346" s="4" t="s">
        <v>21</v>
      </c>
      <c r="F346" s="0" t="n">
        <v>38</v>
      </c>
      <c r="G346" s="5" t="n">
        <v>216.75</v>
      </c>
      <c r="H346" s="6" t="n">
        <v>0.05</v>
      </c>
      <c r="I346" s="5" t="n">
        <f aca="false">F346*G346*(1-H346)</f>
        <v>7824.675</v>
      </c>
      <c r="J346" s="4" t="s">
        <v>15</v>
      </c>
      <c r="K346" s="5" t="n">
        <f aca="false">VLOOKUP(D346,Products!$A$2:$E$26,4,FALSE())</f>
        <v>83.93</v>
      </c>
      <c r="L346" s="6" t="n">
        <f aca="false">(I346-F346*K346)/I346</f>
        <v>0.592399684331937</v>
      </c>
    </row>
    <row r="347" customFormat="false" ht="15" hidden="false" customHeight="false" outlineLevel="0" collapsed="false">
      <c r="A347" s="0" t="n">
        <v>10343</v>
      </c>
      <c r="B347" s="3" t="n">
        <v>45577</v>
      </c>
      <c r="C347" s="0" t="n">
        <v>61</v>
      </c>
      <c r="D347" s="4" t="s">
        <v>23</v>
      </c>
      <c r="E347" s="4" t="s">
        <v>20</v>
      </c>
      <c r="F347" s="0" t="n">
        <v>22</v>
      </c>
      <c r="G347" s="5" t="n">
        <v>124.74</v>
      </c>
      <c r="H347" s="6" t="n">
        <v>0</v>
      </c>
      <c r="I347" s="5" t="n">
        <f aca="false">F347*G347*(1-H347)</f>
        <v>2744.28</v>
      </c>
      <c r="J347" s="4" t="s">
        <v>18</v>
      </c>
      <c r="K347" s="5" t="n">
        <f aca="false">VLOOKUP(D347,Products!$A$2:$E$26,4,FALSE())</f>
        <v>75.38</v>
      </c>
      <c r="L347" s="6" t="n">
        <f aca="false">(I347-F347*K347)/I347</f>
        <v>0.395703062369729</v>
      </c>
    </row>
    <row r="348" customFormat="false" ht="15" hidden="false" customHeight="false" outlineLevel="0" collapsed="false">
      <c r="A348" s="0" t="n">
        <v>10344</v>
      </c>
      <c r="B348" s="3" t="n">
        <v>45604</v>
      </c>
      <c r="C348" s="0" t="n">
        <v>25</v>
      </c>
      <c r="D348" s="4" t="s">
        <v>46</v>
      </c>
      <c r="E348" s="4" t="s">
        <v>21</v>
      </c>
      <c r="F348" s="0" t="n">
        <v>31</v>
      </c>
      <c r="G348" s="5" t="n">
        <v>298.66</v>
      </c>
      <c r="H348" s="6" t="n">
        <v>0</v>
      </c>
      <c r="I348" s="5" t="n">
        <f aca="false">F348*G348*(1-H348)</f>
        <v>9258.46</v>
      </c>
      <c r="J348" s="4" t="s">
        <v>18</v>
      </c>
      <c r="K348" s="5" t="n">
        <f aca="false">VLOOKUP(D348,Products!$A$2:$E$26,4,FALSE())</f>
        <v>219.79</v>
      </c>
      <c r="L348" s="6" t="n">
        <f aca="false">(I348-F348*K348)/I348</f>
        <v>0.264079555347218</v>
      </c>
    </row>
    <row r="349" customFormat="false" ht="15" hidden="false" customHeight="false" outlineLevel="0" collapsed="false">
      <c r="A349" s="0" t="n">
        <v>10345</v>
      </c>
      <c r="B349" s="3" t="n">
        <v>45487</v>
      </c>
      <c r="C349" s="0" t="n">
        <v>14</v>
      </c>
      <c r="D349" s="4" t="s">
        <v>33</v>
      </c>
      <c r="E349" s="4" t="s">
        <v>24</v>
      </c>
      <c r="F349" s="0" t="n">
        <v>1</v>
      </c>
      <c r="G349" s="5" t="n">
        <v>44.63</v>
      </c>
      <c r="H349" s="6" t="n">
        <v>0</v>
      </c>
      <c r="I349" s="5" t="n">
        <f aca="false">F349*G349*(1-H349)</f>
        <v>44.63</v>
      </c>
      <c r="J349" s="4" t="s">
        <v>15</v>
      </c>
      <c r="K349" s="5" t="n">
        <f aca="false">VLOOKUP(D349,Products!$A$2:$E$26,4,FALSE())</f>
        <v>28.4</v>
      </c>
      <c r="L349" s="6" t="n">
        <f aca="false">(I349-F349*K349)/I349</f>
        <v>0.363656733139144</v>
      </c>
    </row>
    <row r="350" customFormat="false" ht="15" hidden="false" customHeight="false" outlineLevel="0" collapsed="false">
      <c r="A350" s="0" t="n">
        <v>10346</v>
      </c>
      <c r="B350" s="3" t="n">
        <v>45557</v>
      </c>
      <c r="C350" s="0" t="n">
        <v>59</v>
      </c>
      <c r="D350" s="4" t="s">
        <v>36</v>
      </c>
      <c r="E350" s="4" t="s">
        <v>24</v>
      </c>
      <c r="F350" s="0" t="n">
        <v>11</v>
      </c>
      <c r="G350" s="5" t="n">
        <v>49.62</v>
      </c>
      <c r="H350" s="6" t="n">
        <v>0</v>
      </c>
      <c r="I350" s="5" t="n">
        <f aca="false">F350*G350*(1-H350)</f>
        <v>545.82</v>
      </c>
      <c r="J350" s="4" t="s">
        <v>18</v>
      </c>
      <c r="K350" s="5" t="n">
        <f aca="false">VLOOKUP(D350,Products!$A$2:$E$26,4,FALSE())</f>
        <v>23.74</v>
      </c>
      <c r="L350" s="6" t="n">
        <f aca="false">(I350-F350*K350)/I350</f>
        <v>0.521563885530028</v>
      </c>
    </row>
    <row r="351" customFormat="false" ht="15" hidden="false" customHeight="false" outlineLevel="0" collapsed="false">
      <c r="A351" s="0" t="n">
        <v>10347</v>
      </c>
      <c r="B351" s="3" t="n">
        <v>45538</v>
      </c>
      <c r="C351" s="0" t="n">
        <v>12</v>
      </c>
      <c r="D351" s="4" t="s">
        <v>38</v>
      </c>
      <c r="E351" s="4" t="s">
        <v>24</v>
      </c>
      <c r="F351" s="0" t="n">
        <v>14</v>
      </c>
      <c r="G351" s="5" t="n">
        <v>178.53</v>
      </c>
      <c r="H351" s="6" t="n">
        <v>0.15</v>
      </c>
      <c r="I351" s="5" t="n">
        <f aca="false">F351*G351*(1-H351)</f>
        <v>2124.507</v>
      </c>
      <c r="J351" s="4" t="s">
        <v>18</v>
      </c>
      <c r="K351" s="5" t="n">
        <f aca="false">VLOOKUP(D351,Products!$A$2:$E$26,4,FALSE())</f>
        <v>107.25</v>
      </c>
      <c r="L351" s="6" t="n">
        <f aca="false">(I351-F351*K351)/I351</f>
        <v>0.293247798195064</v>
      </c>
    </row>
    <row r="352" customFormat="false" ht="15" hidden="false" customHeight="false" outlineLevel="0" collapsed="false">
      <c r="A352" s="0" t="n">
        <v>10348</v>
      </c>
      <c r="B352" s="3" t="n">
        <v>45359</v>
      </c>
      <c r="C352" s="0" t="n">
        <v>80</v>
      </c>
      <c r="D352" s="4" t="s">
        <v>31</v>
      </c>
      <c r="E352" s="4" t="s">
        <v>24</v>
      </c>
      <c r="F352" s="0" t="n">
        <v>7</v>
      </c>
      <c r="G352" s="5" t="n">
        <v>44.51</v>
      </c>
      <c r="H352" s="6" t="n">
        <v>0.1</v>
      </c>
      <c r="I352" s="5" t="n">
        <f aca="false">F352*G352*(1-H352)</f>
        <v>280.413</v>
      </c>
      <c r="J352" s="4" t="s">
        <v>18</v>
      </c>
      <c r="K352" s="5" t="n">
        <f aca="false">VLOOKUP(D352,Products!$A$2:$E$26,4,FALSE())</f>
        <v>23.25</v>
      </c>
      <c r="L352" s="6" t="n">
        <f aca="false">(I352-F352*K352)/I352</f>
        <v>0.41960608103048</v>
      </c>
    </row>
    <row r="353" customFormat="false" ht="15" hidden="false" customHeight="false" outlineLevel="0" collapsed="false">
      <c r="A353" s="0" t="n">
        <v>10349</v>
      </c>
      <c r="B353" s="3" t="n">
        <v>45332</v>
      </c>
      <c r="C353" s="0" t="n">
        <v>61</v>
      </c>
      <c r="D353" s="4" t="s">
        <v>25</v>
      </c>
      <c r="E353" s="4" t="s">
        <v>14</v>
      </c>
      <c r="F353" s="0" t="n">
        <v>2</v>
      </c>
      <c r="G353" s="5" t="n">
        <v>214.83</v>
      </c>
      <c r="H353" s="6" t="n">
        <v>0.05</v>
      </c>
      <c r="I353" s="5" t="n">
        <f aca="false">F353*G353*(1-H353)</f>
        <v>408.177</v>
      </c>
      <c r="J353" s="4" t="s">
        <v>15</v>
      </c>
      <c r="K353" s="5" t="n">
        <f aca="false">VLOOKUP(D353,Products!$A$2:$E$26,4,FALSE())</f>
        <v>128.85</v>
      </c>
      <c r="L353" s="6" t="n">
        <f aca="false">(I353-F353*K353)/I353</f>
        <v>0.368656244717365</v>
      </c>
    </row>
    <row r="354" customFormat="false" ht="15" hidden="false" customHeight="false" outlineLevel="0" collapsed="false">
      <c r="A354" s="0" t="n">
        <v>10350</v>
      </c>
      <c r="B354" s="3" t="n">
        <v>45338</v>
      </c>
      <c r="C354" s="0" t="n">
        <v>21</v>
      </c>
      <c r="D354" s="4" t="s">
        <v>38</v>
      </c>
      <c r="E354" s="4" t="s">
        <v>24</v>
      </c>
      <c r="F354" s="0" t="n">
        <v>25</v>
      </c>
      <c r="G354" s="5" t="n">
        <v>169.93</v>
      </c>
      <c r="H354" s="6" t="n">
        <v>0.05</v>
      </c>
      <c r="I354" s="5" t="n">
        <f aca="false">F354*G354*(1-H354)</f>
        <v>4035.8375</v>
      </c>
      <c r="J354" s="4" t="s">
        <v>18</v>
      </c>
      <c r="K354" s="5" t="n">
        <f aca="false">VLOOKUP(D354,Products!$A$2:$E$26,4,FALSE())</f>
        <v>107.25</v>
      </c>
      <c r="L354" s="6" t="n">
        <f aca="false">(I354-F354*K354)/I354</f>
        <v>0.335639752591624</v>
      </c>
    </row>
    <row r="355" customFormat="false" ht="15" hidden="false" customHeight="false" outlineLevel="0" collapsed="false">
      <c r="A355" s="0" t="n">
        <v>10351</v>
      </c>
      <c r="B355" s="3" t="n">
        <v>45354</v>
      </c>
      <c r="C355" s="0" t="n">
        <v>44</v>
      </c>
      <c r="D355" s="4" t="s">
        <v>44</v>
      </c>
      <c r="E355" s="4" t="s">
        <v>14</v>
      </c>
      <c r="F355" s="0" t="n">
        <v>31</v>
      </c>
      <c r="G355" s="5" t="n">
        <v>32.24</v>
      </c>
      <c r="H355" s="6" t="n">
        <v>0</v>
      </c>
      <c r="I355" s="5" t="n">
        <f aca="false">F355*G355*(1-H355)</f>
        <v>999.44</v>
      </c>
      <c r="J355" s="4" t="s">
        <v>15</v>
      </c>
      <c r="K355" s="5" t="n">
        <f aca="false">VLOOKUP(D355,Products!$A$2:$E$26,4,FALSE())</f>
        <v>18.41</v>
      </c>
      <c r="L355" s="6" t="n">
        <f aca="false">(I355-F355*K355)/I355</f>
        <v>0.428970223325062</v>
      </c>
    </row>
    <row r="356" customFormat="false" ht="15" hidden="false" customHeight="false" outlineLevel="0" collapsed="false">
      <c r="A356" s="0" t="n">
        <v>10352</v>
      </c>
      <c r="B356" s="3" t="n">
        <v>45409</v>
      </c>
      <c r="C356" s="0" t="n">
        <v>8</v>
      </c>
      <c r="D356" s="4" t="s">
        <v>13</v>
      </c>
      <c r="E356" s="4" t="s">
        <v>14</v>
      </c>
      <c r="F356" s="0" t="n">
        <v>8</v>
      </c>
      <c r="G356" s="5" t="n">
        <v>92.11</v>
      </c>
      <c r="H356" s="6" t="n">
        <v>0.15</v>
      </c>
      <c r="I356" s="5" t="n">
        <f aca="false">F356*G356*(1-H356)</f>
        <v>626.348</v>
      </c>
      <c r="J356" s="4" t="s">
        <v>15</v>
      </c>
      <c r="K356" s="5" t="n">
        <f aca="false">VLOOKUP(D356,Products!$A$2:$E$26,4,FALSE())</f>
        <v>39.86</v>
      </c>
      <c r="L356" s="6" t="n">
        <f aca="false">(I356-F356*K356)/I356</f>
        <v>0.490890048343732</v>
      </c>
    </row>
    <row r="357" customFormat="false" ht="15" hidden="false" customHeight="false" outlineLevel="0" collapsed="false">
      <c r="A357" s="0" t="n">
        <v>10353</v>
      </c>
      <c r="B357" s="3" t="n">
        <v>45297</v>
      </c>
      <c r="C357" s="0" t="n">
        <v>45</v>
      </c>
      <c r="D357" s="4" t="s">
        <v>34</v>
      </c>
      <c r="E357" s="4" t="s">
        <v>20</v>
      </c>
      <c r="F357" s="0" t="n">
        <v>27</v>
      </c>
      <c r="G357" s="5" t="n">
        <v>21.11</v>
      </c>
      <c r="H357" s="6" t="n">
        <v>0</v>
      </c>
      <c r="I357" s="5" t="n">
        <f aca="false">F357*G357*(1-H357)</f>
        <v>569.97</v>
      </c>
      <c r="J357" s="4" t="s">
        <v>15</v>
      </c>
      <c r="K357" s="5" t="n">
        <f aca="false">VLOOKUP(D357,Products!$A$2:$E$26,4,FALSE())</f>
        <v>14.34</v>
      </c>
      <c r="L357" s="6" t="n">
        <f aca="false">(I357-F357*K357)/I357</f>
        <v>0.320701089531028</v>
      </c>
    </row>
    <row r="358" customFormat="false" ht="15" hidden="false" customHeight="false" outlineLevel="0" collapsed="false">
      <c r="A358" s="0" t="n">
        <v>10354</v>
      </c>
      <c r="B358" s="3" t="n">
        <v>45295</v>
      </c>
      <c r="C358" s="0" t="n">
        <v>70</v>
      </c>
      <c r="D358" s="4" t="s">
        <v>35</v>
      </c>
      <c r="E358" s="4" t="s">
        <v>20</v>
      </c>
      <c r="F358" s="0" t="n">
        <v>38</v>
      </c>
      <c r="G358" s="5" t="n">
        <v>371.9</v>
      </c>
      <c r="H358" s="6" t="n">
        <v>0.05</v>
      </c>
      <c r="I358" s="5" t="n">
        <f aca="false">F358*G358*(1-H358)</f>
        <v>13425.59</v>
      </c>
      <c r="J358" s="4" t="s">
        <v>18</v>
      </c>
      <c r="K358" s="5" t="n">
        <f aca="false">VLOOKUP(D358,Products!$A$2:$E$26,4,FALSE())</f>
        <v>244.6</v>
      </c>
      <c r="L358" s="6" t="n">
        <f aca="false">(I358-F358*K358)/I358</f>
        <v>0.30768033285688</v>
      </c>
    </row>
    <row r="359" customFormat="false" ht="15" hidden="false" customHeight="false" outlineLevel="0" collapsed="false">
      <c r="A359" s="0" t="n">
        <v>10355</v>
      </c>
      <c r="B359" s="3" t="n">
        <v>45300</v>
      </c>
      <c r="C359" s="0" t="n">
        <v>33</v>
      </c>
      <c r="D359" s="4" t="s">
        <v>27</v>
      </c>
      <c r="E359" s="4" t="s">
        <v>20</v>
      </c>
      <c r="F359" s="0" t="n">
        <v>10</v>
      </c>
      <c r="G359" s="5" t="n">
        <v>116.36</v>
      </c>
      <c r="H359" s="6" t="n">
        <v>0</v>
      </c>
      <c r="I359" s="5" t="n">
        <f aca="false">F359*G359*(1-H359)</f>
        <v>1163.6</v>
      </c>
      <c r="J359" s="4" t="s">
        <v>28</v>
      </c>
      <c r="K359" s="5" t="n">
        <f aca="false">VLOOKUP(D359,Products!$A$2:$E$26,4,FALSE())</f>
        <v>45.07</v>
      </c>
      <c r="L359" s="6" t="n">
        <f aca="false">(I359-F359*K359)/I359</f>
        <v>0.61266758336198</v>
      </c>
    </row>
    <row r="360" customFormat="false" ht="15" hidden="false" customHeight="false" outlineLevel="0" collapsed="false">
      <c r="A360" s="0" t="n">
        <v>10356</v>
      </c>
      <c r="B360" s="3" t="n">
        <v>45299</v>
      </c>
      <c r="C360" s="0" t="n">
        <v>68</v>
      </c>
      <c r="D360" s="4" t="s">
        <v>37</v>
      </c>
      <c r="E360" s="4" t="s">
        <v>20</v>
      </c>
      <c r="F360" s="0" t="n">
        <v>14</v>
      </c>
      <c r="G360" s="5" t="n">
        <v>8.44</v>
      </c>
      <c r="H360" s="6" t="n">
        <v>0.15</v>
      </c>
      <c r="I360" s="5" t="n">
        <f aca="false">F360*G360*(1-H360)</f>
        <v>100.436</v>
      </c>
      <c r="J360" s="4" t="s">
        <v>15</v>
      </c>
      <c r="K360" s="5" t="n">
        <f aca="false">VLOOKUP(D360,Products!$A$2:$E$26,4,FALSE())</f>
        <v>3.88</v>
      </c>
      <c r="L360" s="6" t="n">
        <f aca="false">(I360-F360*K360)/I360</f>
        <v>0.459158070811263</v>
      </c>
    </row>
    <row r="361" customFormat="false" ht="15" hidden="false" customHeight="false" outlineLevel="0" collapsed="false">
      <c r="A361" s="0" t="n">
        <v>10357</v>
      </c>
      <c r="B361" s="3" t="n">
        <v>45521</v>
      </c>
      <c r="C361" s="0" t="n">
        <v>33</v>
      </c>
      <c r="D361" s="4" t="s">
        <v>42</v>
      </c>
      <c r="E361" s="4" t="s">
        <v>21</v>
      </c>
      <c r="F361" s="0" t="n">
        <v>18</v>
      </c>
      <c r="G361" s="5" t="n">
        <v>73.47</v>
      </c>
      <c r="H361" s="6" t="n">
        <v>0.1</v>
      </c>
      <c r="I361" s="5" t="n">
        <f aca="false">F361*G361*(1-H361)</f>
        <v>1190.214</v>
      </c>
      <c r="J361" s="4" t="s">
        <v>15</v>
      </c>
      <c r="K361" s="5" t="n">
        <f aca="false">VLOOKUP(D361,Products!$A$2:$E$26,4,FALSE())</f>
        <v>47.32</v>
      </c>
      <c r="L361" s="6" t="n">
        <f aca="false">(I361-F361*K361)/I361</f>
        <v>0.284363988324789</v>
      </c>
    </row>
    <row r="362" customFormat="false" ht="15" hidden="false" customHeight="false" outlineLevel="0" collapsed="false">
      <c r="A362" s="0" t="n">
        <v>10358</v>
      </c>
      <c r="B362" s="3" t="n">
        <v>45579</v>
      </c>
      <c r="C362" s="0" t="n">
        <v>31</v>
      </c>
      <c r="D362" s="4" t="s">
        <v>43</v>
      </c>
      <c r="E362" s="4" t="s">
        <v>21</v>
      </c>
      <c r="F362" s="0" t="n">
        <v>28</v>
      </c>
      <c r="G362" s="5" t="n">
        <v>214.15</v>
      </c>
      <c r="H362" s="6" t="n">
        <v>0</v>
      </c>
      <c r="I362" s="5" t="n">
        <f aca="false">F362*G362*(1-H362)</f>
        <v>5996.2</v>
      </c>
      <c r="J362" s="4" t="s">
        <v>15</v>
      </c>
      <c r="K362" s="5" t="n">
        <f aca="false">VLOOKUP(D362,Products!$A$2:$E$26,4,FALSE())</f>
        <v>126.91</v>
      </c>
      <c r="L362" s="6" t="n">
        <f aca="false">(I362-F362*K362)/I362</f>
        <v>0.407378006070511</v>
      </c>
    </row>
    <row r="363" customFormat="false" ht="15" hidden="false" customHeight="false" outlineLevel="0" collapsed="false">
      <c r="A363" s="0" t="n">
        <v>10359</v>
      </c>
      <c r="B363" s="3" t="n">
        <v>45366</v>
      </c>
      <c r="C363" s="0" t="n">
        <v>76</v>
      </c>
      <c r="D363" s="4" t="s">
        <v>42</v>
      </c>
      <c r="E363" s="4" t="s">
        <v>14</v>
      </c>
      <c r="F363" s="0" t="n">
        <v>8</v>
      </c>
      <c r="G363" s="5" t="n">
        <v>76.72</v>
      </c>
      <c r="H363" s="6" t="n">
        <v>0.05</v>
      </c>
      <c r="I363" s="5" t="n">
        <f aca="false">F363*G363*(1-H363)</f>
        <v>583.072</v>
      </c>
      <c r="J363" s="4" t="s">
        <v>15</v>
      </c>
      <c r="K363" s="5" t="n">
        <f aca="false">VLOOKUP(D363,Products!$A$2:$E$26,4,FALSE())</f>
        <v>47.32</v>
      </c>
      <c r="L363" s="6" t="n">
        <f aca="false">(I363-F363*K363)/I363</f>
        <v>0.350749135612755</v>
      </c>
    </row>
    <row r="364" customFormat="false" ht="15" hidden="false" customHeight="false" outlineLevel="0" collapsed="false">
      <c r="A364" s="0" t="n">
        <v>10360</v>
      </c>
      <c r="B364" s="3" t="n">
        <v>45514</v>
      </c>
      <c r="C364" s="0" t="n">
        <v>11</v>
      </c>
      <c r="D364" s="4" t="s">
        <v>36</v>
      </c>
      <c r="E364" s="4" t="s">
        <v>24</v>
      </c>
      <c r="F364" s="0" t="n">
        <v>3</v>
      </c>
      <c r="G364" s="5" t="n">
        <v>50.27</v>
      </c>
      <c r="H364" s="6" t="n">
        <v>0</v>
      </c>
      <c r="I364" s="5" t="n">
        <f aca="false">F364*G364*(1-H364)</f>
        <v>150.81</v>
      </c>
      <c r="J364" s="4" t="s">
        <v>18</v>
      </c>
      <c r="K364" s="5" t="n">
        <f aca="false">VLOOKUP(D364,Products!$A$2:$E$26,4,FALSE())</f>
        <v>23.74</v>
      </c>
      <c r="L364" s="6" t="n">
        <f aca="false">(I364-F364*K364)/I364</f>
        <v>0.527750149194351</v>
      </c>
    </row>
    <row r="365" customFormat="false" ht="15" hidden="false" customHeight="false" outlineLevel="0" collapsed="false">
      <c r="A365" s="0" t="n">
        <v>10361</v>
      </c>
      <c r="B365" s="3" t="n">
        <v>45645</v>
      </c>
      <c r="C365" s="0" t="n">
        <v>40</v>
      </c>
      <c r="D365" s="4" t="s">
        <v>13</v>
      </c>
      <c r="E365" s="4" t="s">
        <v>20</v>
      </c>
      <c r="F365" s="0" t="n">
        <v>1</v>
      </c>
      <c r="G365" s="5" t="n">
        <v>89.5</v>
      </c>
      <c r="H365" s="6" t="n">
        <v>0.05</v>
      </c>
      <c r="I365" s="5" t="n">
        <f aca="false">F365*G365*(1-H365)</f>
        <v>85.025</v>
      </c>
      <c r="J365" s="4" t="s">
        <v>28</v>
      </c>
      <c r="K365" s="5" t="n">
        <f aca="false">VLOOKUP(D365,Products!$A$2:$E$26,4,FALSE())</f>
        <v>39.86</v>
      </c>
      <c r="L365" s="6" t="n">
        <f aca="false">(I365-F365*K365)/I365</f>
        <v>0.531196706850926</v>
      </c>
    </row>
    <row r="366" customFormat="false" ht="15" hidden="false" customHeight="false" outlineLevel="0" collapsed="false">
      <c r="A366" s="0" t="n">
        <v>10362</v>
      </c>
      <c r="B366" s="3" t="n">
        <v>45560</v>
      </c>
      <c r="C366" s="0" t="n">
        <v>73</v>
      </c>
      <c r="D366" s="4" t="s">
        <v>32</v>
      </c>
      <c r="E366" s="4" t="s">
        <v>21</v>
      </c>
      <c r="F366" s="0" t="n">
        <v>16</v>
      </c>
      <c r="G366" s="5" t="n">
        <v>347.23</v>
      </c>
      <c r="H366" s="6" t="n">
        <v>0.05</v>
      </c>
      <c r="I366" s="5" t="n">
        <f aca="false">F366*G366*(1-H366)</f>
        <v>5277.896</v>
      </c>
      <c r="J366" s="4" t="s">
        <v>15</v>
      </c>
      <c r="K366" s="5" t="n">
        <f aca="false">VLOOKUP(D366,Products!$A$2:$E$26,4,FALSE())</f>
        <v>144.3</v>
      </c>
      <c r="L366" s="6" t="n">
        <f aca="false">(I366-F366*K366)/I366</f>
        <v>0.562552956708507</v>
      </c>
    </row>
    <row r="367" customFormat="false" ht="15" hidden="false" customHeight="false" outlineLevel="0" collapsed="false">
      <c r="A367" s="0" t="n">
        <v>10363</v>
      </c>
      <c r="B367" s="3" t="n">
        <v>45576</v>
      </c>
      <c r="C367" s="0" t="n">
        <v>59</v>
      </c>
      <c r="D367" s="4" t="s">
        <v>30</v>
      </c>
      <c r="E367" s="4" t="s">
        <v>20</v>
      </c>
      <c r="F367" s="0" t="n">
        <v>8</v>
      </c>
      <c r="G367" s="5" t="n">
        <v>209.34</v>
      </c>
      <c r="H367" s="6" t="n">
        <v>0</v>
      </c>
      <c r="I367" s="5" t="n">
        <f aca="false">F367*G367*(1-H367)</f>
        <v>1674.72</v>
      </c>
      <c r="J367" s="4" t="s">
        <v>15</v>
      </c>
      <c r="K367" s="5" t="n">
        <f aca="false">VLOOKUP(D367,Products!$A$2:$E$26,4,FALSE())</f>
        <v>97.8</v>
      </c>
      <c r="L367" s="6" t="n">
        <f aca="false">(I367-F367*K367)/I367</f>
        <v>0.532817426196618</v>
      </c>
    </row>
    <row r="368" customFormat="false" ht="15" hidden="false" customHeight="false" outlineLevel="0" collapsed="false">
      <c r="A368" s="0" t="n">
        <v>10364</v>
      </c>
      <c r="B368" s="3" t="n">
        <v>45415</v>
      </c>
      <c r="C368" s="0" t="n">
        <v>57</v>
      </c>
      <c r="D368" s="4" t="s">
        <v>31</v>
      </c>
      <c r="E368" s="4" t="s">
        <v>21</v>
      </c>
      <c r="F368" s="0" t="n">
        <v>32</v>
      </c>
      <c r="G368" s="5" t="n">
        <v>45.58</v>
      </c>
      <c r="H368" s="6" t="n">
        <v>0</v>
      </c>
      <c r="I368" s="5" t="n">
        <f aca="false">F368*G368*(1-H368)</f>
        <v>1458.56</v>
      </c>
      <c r="J368" s="4" t="s">
        <v>18</v>
      </c>
      <c r="K368" s="5" t="n">
        <f aca="false">VLOOKUP(D368,Products!$A$2:$E$26,4,FALSE())</f>
        <v>23.25</v>
      </c>
      <c r="L368" s="6" t="n">
        <f aca="false">(I368-F368*K368)/I368</f>
        <v>0.489907854322071</v>
      </c>
    </row>
    <row r="369" customFormat="false" ht="15" hidden="false" customHeight="false" outlineLevel="0" collapsed="false">
      <c r="A369" s="0" t="n">
        <v>10365</v>
      </c>
      <c r="B369" s="3" t="n">
        <v>45508</v>
      </c>
      <c r="C369" s="0" t="n">
        <v>63</v>
      </c>
      <c r="D369" s="4" t="s">
        <v>26</v>
      </c>
      <c r="E369" s="4" t="s">
        <v>21</v>
      </c>
      <c r="F369" s="0" t="n">
        <v>26</v>
      </c>
      <c r="G369" s="5" t="n">
        <v>52.63</v>
      </c>
      <c r="H369" s="6" t="n">
        <v>0</v>
      </c>
      <c r="I369" s="5" t="n">
        <f aca="false">F369*G369*(1-H369)</f>
        <v>1368.38</v>
      </c>
      <c r="J369" s="4" t="s">
        <v>15</v>
      </c>
      <c r="K369" s="5" t="n">
        <f aca="false">VLOOKUP(D369,Products!$A$2:$E$26,4,FALSE())</f>
        <v>22.68</v>
      </c>
      <c r="L369" s="6" t="n">
        <f aca="false">(I369-F369*K369)/I369</f>
        <v>0.56906707201216</v>
      </c>
    </row>
    <row r="370" customFormat="false" ht="15" hidden="false" customHeight="false" outlineLevel="0" collapsed="false">
      <c r="A370" s="0" t="n">
        <v>10366</v>
      </c>
      <c r="B370" s="3" t="n">
        <v>45432</v>
      </c>
      <c r="C370" s="0" t="n">
        <v>68</v>
      </c>
      <c r="D370" s="4" t="s">
        <v>46</v>
      </c>
      <c r="E370" s="4" t="s">
        <v>14</v>
      </c>
      <c r="F370" s="0" t="n">
        <v>10</v>
      </c>
      <c r="G370" s="5" t="n">
        <v>327.02</v>
      </c>
      <c r="H370" s="6" t="n">
        <v>0.05</v>
      </c>
      <c r="I370" s="5" t="n">
        <f aca="false">F370*G370*(1-H370)</f>
        <v>3106.69</v>
      </c>
      <c r="J370" s="4" t="s">
        <v>15</v>
      </c>
      <c r="K370" s="5" t="n">
        <f aca="false">VLOOKUP(D370,Products!$A$2:$E$26,4,FALSE())</f>
        <v>219.79</v>
      </c>
      <c r="L370" s="6" t="n">
        <f aca="false">(I370-F370*K370)/I370</f>
        <v>0.292526772867586</v>
      </c>
    </row>
    <row r="371" customFormat="false" ht="15" hidden="false" customHeight="false" outlineLevel="0" collapsed="false">
      <c r="A371" s="0" t="n">
        <v>10367</v>
      </c>
      <c r="B371" s="3" t="n">
        <v>45416</v>
      </c>
      <c r="C371" s="0" t="n">
        <v>62</v>
      </c>
      <c r="D371" s="4" t="s">
        <v>30</v>
      </c>
      <c r="E371" s="4" t="s">
        <v>14</v>
      </c>
      <c r="F371" s="0" t="n">
        <v>32</v>
      </c>
      <c r="G371" s="5" t="n">
        <v>206.78</v>
      </c>
      <c r="H371" s="6" t="n">
        <v>0</v>
      </c>
      <c r="I371" s="5" t="n">
        <f aca="false">F371*G371*(1-H371)</f>
        <v>6616.96</v>
      </c>
      <c r="J371" s="4" t="s">
        <v>15</v>
      </c>
      <c r="K371" s="5" t="n">
        <f aca="false">VLOOKUP(D371,Products!$A$2:$E$26,4,FALSE())</f>
        <v>97.8</v>
      </c>
      <c r="L371" s="6" t="n">
        <f aca="false">(I371-F371*K371)/I371</f>
        <v>0.527033562240062</v>
      </c>
    </row>
    <row r="372" customFormat="false" ht="15" hidden="false" customHeight="false" outlineLevel="0" collapsed="false">
      <c r="A372" s="0" t="n">
        <v>10368</v>
      </c>
      <c r="B372" s="3" t="n">
        <v>45635</v>
      </c>
      <c r="C372" s="0" t="n">
        <v>53</v>
      </c>
      <c r="D372" s="4" t="s">
        <v>34</v>
      </c>
      <c r="E372" s="4" t="s">
        <v>20</v>
      </c>
      <c r="F372" s="0" t="n">
        <v>8</v>
      </c>
      <c r="G372" s="5" t="n">
        <v>21.12</v>
      </c>
      <c r="H372" s="6" t="n">
        <v>0</v>
      </c>
      <c r="I372" s="5" t="n">
        <f aca="false">F372*G372*(1-H372)</f>
        <v>168.96</v>
      </c>
      <c r="J372" s="4" t="s">
        <v>15</v>
      </c>
      <c r="K372" s="5" t="n">
        <f aca="false">VLOOKUP(D372,Products!$A$2:$E$26,4,FALSE())</f>
        <v>14.34</v>
      </c>
      <c r="L372" s="6" t="n">
        <f aca="false">(I372-F372*K372)/I372</f>
        <v>0.321022727272727</v>
      </c>
    </row>
    <row r="373" customFormat="false" ht="15" hidden="false" customHeight="false" outlineLevel="0" collapsed="false">
      <c r="A373" s="0" t="n">
        <v>10369</v>
      </c>
      <c r="B373" s="3" t="n">
        <v>45505</v>
      </c>
      <c r="C373" s="0" t="n">
        <v>17</v>
      </c>
      <c r="D373" s="4" t="s">
        <v>37</v>
      </c>
      <c r="E373" s="4" t="s">
        <v>20</v>
      </c>
      <c r="F373" s="0" t="n">
        <v>25</v>
      </c>
      <c r="G373" s="5" t="n">
        <v>8.23</v>
      </c>
      <c r="H373" s="6" t="n">
        <v>0.15</v>
      </c>
      <c r="I373" s="5" t="n">
        <f aca="false">F373*G373*(1-H373)</f>
        <v>174.8875</v>
      </c>
      <c r="J373" s="4" t="s">
        <v>15</v>
      </c>
      <c r="K373" s="5" t="n">
        <f aca="false">VLOOKUP(D373,Products!$A$2:$E$26,4,FALSE())</f>
        <v>3.88</v>
      </c>
      <c r="L373" s="6" t="n">
        <f aca="false">(I373-F373*K373)/I373</f>
        <v>0.445357729969266</v>
      </c>
    </row>
    <row r="374" customFormat="false" ht="15" hidden="false" customHeight="false" outlineLevel="0" collapsed="false">
      <c r="A374" s="0" t="n">
        <v>10370</v>
      </c>
      <c r="B374" s="3" t="n">
        <v>45394</v>
      </c>
      <c r="C374" s="0" t="n">
        <v>57</v>
      </c>
      <c r="D374" s="4" t="s">
        <v>22</v>
      </c>
      <c r="E374" s="4" t="s">
        <v>20</v>
      </c>
      <c r="F374" s="0" t="n">
        <v>30</v>
      </c>
      <c r="G374" s="5" t="n">
        <v>51.03</v>
      </c>
      <c r="H374" s="6" t="n">
        <v>0.05</v>
      </c>
      <c r="I374" s="5" t="n">
        <f aca="false">F374*G374*(1-H374)</f>
        <v>1454.355</v>
      </c>
      <c r="J374" s="4" t="s">
        <v>15</v>
      </c>
      <c r="K374" s="5" t="n">
        <f aca="false">VLOOKUP(D374,Products!$A$2:$E$26,4,FALSE())</f>
        <v>26.06</v>
      </c>
      <c r="L374" s="6" t="n">
        <f aca="false">(I374-F374*K374)/I374</f>
        <v>0.462442113514238</v>
      </c>
    </row>
    <row r="375" customFormat="false" ht="15" hidden="false" customHeight="false" outlineLevel="0" collapsed="false">
      <c r="A375" s="0" t="n">
        <v>10371</v>
      </c>
      <c r="B375" s="3" t="n">
        <v>45497</v>
      </c>
      <c r="C375" s="0" t="n">
        <v>60</v>
      </c>
      <c r="D375" s="4" t="s">
        <v>42</v>
      </c>
      <c r="E375" s="4" t="s">
        <v>24</v>
      </c>
      <c r="F375" s="0" t="n">
        <v>29</v>
      </c>
      <c r="G375" s="5" t="n">
        <v>75.18</v>
      </c>
      <c r="H375" s="6" t="n">
        <v>0</v>
      </c>
      <c r="I375" s="5" t="n">
        <f aca="false">F375*G375*(1-H375)</f>
        <v>2180.22</v>
      </c>
      <c r="J375" s="4" t="s">
        <v>28</v>
      </c>
      <c r="K375" s="5" t="n">
        <f aca="false">VLOOKUP(D375,Products!$A$2:$E$26,4,FALSE())</f>
        <v>47.32</v>
      </c>
      <c r="L375" s="6" t="n">
        <f aca="false">(I375-F375*K375)/I375</f>
        <v>0.370577281191806</v>
      </c>
    </row>
    <row r="376" customFormat="false" ht="15" hidden="false" customHeight="false" outlineLevel="0" collapsed="false">
      <c r="A376" s="0" t="n">
        <v>10372</v>
      </c>
      <c r="B376" s="3" t="n">
        <v>45574</v>
      </c>
      <c r="C376" s="0" t="n">
        <v>26</v>
      </c>
      <c r="D376" s="4" t="s">
        <v>37</v>
      </c>
      <c r="E376" s="4" t="s">
        <v>14</v>
      </c>
      <c r="F376" s="0" t="n">
        <v>21</v>
      </c>
      <c r="G376" s="5" t="n">
        <v>8.29</v>
      </c>
      <c r="H376" s="6" t="n">
        <v>0</v>
      </c>
      <c r="I376" s="5" t="n">
        <f aca="false">F376*G376*(1-H376)</f>
        <v>174.09</v>
      </c>
      <c r="J376" s="4" t="s">
        <v>15</v>
      </c>
      <c r="K376" s="5" t="n">
        <f aca="false">VLOOKUP(D376,Products!$A$2:$E$26,4,FALSE())</f>
        <v>3.88</v>
      </c>
      <c r="L376" s="6" t="n">
        <f aca="false">(I376-F376*K376)/I376</f>
        <v>0.531966224366707</v>
      </c>
    </row>
    <row r="377" customFormat="false" ht="15" hidden="false" customHeight="false" outlineLevel="0" collapsed="false">
      <c r="A377" s="0" t="n">
        <v>10373</v>
      </c>
      <c r="B377" s="3" t="n">
        <v>45597</v>
      </c>
      <c r="C377" s="0" t="n">
        <v>3</v>
      </c>
      <c r="D377" s="4" t="s">
        <v>34</v>
      </c>
      <c r="E377" s="4" t="s">
        <v>24</v>
      </c>
      <c r="F377" s="0" t="n">
        <v>29</v>
      </c>
      <c r="G377" s="5" t="n">
        <v>22.15</v>
      </c>
      <c r="H377" s="6" t="n">
        <v>0</v>
      </c>
      <c r="I377" s="5" t="n">
        <f aca="false">F377*G377*(1-H377)</f>
        <v>642.35</v>
      </c>
      <c r="J377" s="4" t="s">
        <v>28</v>
      </c>
      <c r="K377" s="5" t="n">
        <f aca="false">VLOOKUP(D377,Products!$A$2:$E$26,4,FALSE())</f>
        <v>14.34</v>
      </c>
      <c r="L377" s="6" t="n">
        <f aca="false">(I377-F377*K377)/I377</f>
        <v>0.352595936794582</v>
      </c>
    </row>
    <row r="378" customFormat="false" ht="15" hidden="false" customHeight="false" outlineLevel="0" collapsed="false">
      <c r="A378" s="0" t="n">
        <v>10374</v>
      </c>
      <c r="B378" s="3" t="n">
        <v>45509</v>
      </c>
      <c r="C378" s="0" t="n">
        <v>56</v>
      </c>
      <c r="D378" s="4" t="s">
        <v>29</v>
      </c>
      <c r="E378" s="4" t="s">
        <v>21</v>
      </c>
      <c r="F378" s="0" t="n">
        <v>20</v>
      </c>
      <c r="G378" s="5" t="n">
        <v>77.84</v>
      </c>
      <c r="H378" s="6" t="n">
        <v>0.1</v>
      </c>
      <c r="I378" s="5" t="n">
        <f aca="false">F378*G378*(1-H378)</f>
        <v>1401.12</v>
      </c>
      <c r="J378" s="4" t="s">
        <v>15</v>
      </c>
      <c r="K378" s="5" t="n">
        <f aca="false">VLOOKUP(D378,Products!$A$2:$E$26,4,FALSE())</f>
        <v>38.68</v>
      </c>
      <c r="L378" s="6" t="n">
        <f aca="false">(I378-F378*K378)/I378</f>
        <v>0.447870275208405</v>
      </c>
    </row>
    <row r="379" customFormat="false" ht="15" hidden="false" customHeight="false" outlineLevel="0" collapsed="false">
      <c r="A379" s="0" t="n">
        <v>10375</v>
      </c>
      <c r="B379" s="3" t="n">
        <v>45463</v>
      </c>
      <c r="C379" s="0" t="n">
        <v>74</v>
      </c>
      <c r="D379" s="4" t="s">
        <v>37</v>
      </c>
      <c r="E379" s="4" t="s">
        <v>24</v>
      </c>
      <c r="F379" s="0" t="n">
        <v>28</v>
      </c>
      <c r="G379" s="5" t="n">
        <v>8.59</v>
      </c>
      <c r="H379" s="6" t="n">
        <v>0</v>
      </c>
      <c r="I379" s="5" t="n">
        <f aca="false">F379*G379*(1-H379)</f>
        <v>240.52</v>
      </c>
      <c r="J379" s="4" t="s">
        <v>28</v>
      </c>
      <c r="K379" s="5" t="n">
        <f aca="false">VLOOKUP(D379,Products!$A$2:$E$26,4,FALSE())</f>
        <v>3.88</v>
      </c>
      <c r="L379" s="6" t="n">
        <f aca="false">(I379-F379*K379)/I379</f>
        <v>0.548311990686845</v>
      </c>
    </row>
    <row r="380" customFormat="false" ht="15" hidden="false" customHeight="false" outlineLevel="0" collapsed="false">
      <c r="A380" s="0" t="n">
        <v>10376</v>
      </c>
      <c r="B380" s="3" t="n">
        <v>45606</v>
      </c>
      <c r="C380" s="0" t="n">
        <v>47</v>
      </c>
      <c r="D380" s="4" t="s">
        <v>29</v>
      </c>
      <c r="E380" s="4" t="s">
        <v>24</v>
      </c>
      <c r="F380" s="0" t="n">
        <v>37</v>
      </c>
      <c r="G380" s="5" t="n">
        <v>75.67</v>
      </c>
      <c r="H380" s="6" t="n">
        <v>0.1</v>
      </c>
      <c r="I380" s="5" t="n">
        <f aca="false">F380*G380*(1-H380)</f>
        <v>2519.811</v>
      </c>
      <c r="J380" s="4" t="s">
        <v>15</v>
      </c>
      <c r="K380" s="5" t="n">
        <f aca="false">VLOOKUP(D380,Products!$A$2:$E$26,4,FALSE())</f>
        <v>38.68</v>
      </c>
      <c r="L380" s="6" t="n">
        <f aca="false">(I380-F380*K380)/I380</f>
        <v>0.432036767836953</v>
      </c>
    </row>
    <row r="381" customFormat="false" ht="15" hidden="false" customHeight="false" outlineLevel="0" collapsed="false">
      <c r="A381" s="0" t="n">
        <v>10377</v>
      </c>
      <c r="B381" s="3" t="n">
        <v>45612</v>
      </c>
      <c r="C381" s="0" t="n">
        <v>61</v>
      </c>
      <c r="D381" s="4" t="s">
        <v>26</v>
      </c>
      <c r="E381" s="4" t="s">
        <v>21</v>
      </c>
      <c r="F381" s="0" t="n">
        <v>20</v>
      </c>
      <c r="G381" s="5" t="n">
        <v>51.02</v>
      </c>
      <c r="H381" s="6" t="n">
        <v>0</v>
      </c>
      <c r="I381" s="5" t="n">
        <f aca="false">F381*G381*(1-H381)</f>
        <v>1020.4</v>
      </c>
      <c r="J381" s="4" t="s">
        <v>15</v>
      </c>
      <c r="K381" s="5" t="n">
        <f aca="false">VLOOKUP(D381,Products!$A$2:$E$26,4,FALSE())</f>
        <v>22.68</v>
      </c>
      <c r="L381" s="6" t="n">
        <f aca="false">(I381-F381*K381)/I381</f>
        <v>0.55546844374755</v>
      </c>
    </row>
    <row r="382" customFormat="false" ht="15" hidden="false" customHeight="false" outlineLevel="0" collapsed="false">
      <c r="A382" s="0" t="n">
        <v>10378</v>
      </c>
      <c r="B382" s="3" t="n">
        <v>45352</v>
      </c>
      <c r="C382" s="0" t="n">
        <v>11</v>
      </c>
      <c r="D382" s="4" t="s">
        <v>34</v>
      </c>
      <c r="E382" s="4" t="s">
        <v>21</v>
      </c>
      <c r="F382" s="0" t="n">
        <v>14</v>
      </c>
      <c r="G382" s="5" t="n">
        <v>20.93</v>
      </c>
      <c r="H382" s="6" t="n">
        <v>0.15</v>
      </c>
      <c r="I382" s="5" t="n">
        <f aca="false">F382*G382*(1-H382)</f>
        <v>249.067</v>
      </c>
      <c r="J382" s="4" t="s">
        <v>15</v>
      </c>
      <c r="K382" s="5" t="n">
        <f aca="false">VLOOKUP(D382,Products!$A$2:$E$26,4,FALSE())</f>
        <v>14.34</v>
      </c>
      <c r="L382" s="6" t="n">
        <f aca="false">(I382-F382*K382)/I382</f>
        <v>0.193951828222928</v>
      </c>
    </row>
    <row r="383" customFormat="false" ht="15" hidden="false" customHeight="false" outlineLevel="0" collapsed="false">
      <c r="A383" s="0" t="n">
        <v>10379</v>
      </c>
      <c r="B383" s="3" t="n">
        <v>45330</v>
      </c>
      <c r="C383" s="0" t="n">
        <v>61</v>
      </c>
      <c r="D383" s="4" t="s">
        <v>35</v>
      </c>
      <c r="E383" s="4" t="s">
        <v>21</v>
      </c>
      <c r="F383" s="0" t="n">
        <v>7</v>
      </c>
      <c r="G383" s="5" t="n">
        <v>373.26</v>
      </c>
      <c r="H383" s="6" t="n">
        <v>0</v>
      </c>
      <c r="I383" s="5" t="n">
        <f aca="false">F383*G383*(1-H383)</f>
        <v>2612.82</v>
      </c>
      <c r="J383" s="4" t="s">
        <v>15</v>
      </c>
      <c r="K383" s="5" t="n">
        <f aca="false">VLOOKUP(D383,Products!$A$2:$E$26,4,FALSE())</f>
        <v>244.6</v>
      </c>
      <c r="L383" s="6" t="n">
        <f aca="false">(I383-F383*K383)/I383</f>
        <v>0.344692707496115</v>
      </c>
    </row>
    <row r="384" customFormat="false" ht="15" hidden="false" customHeight="false" outlineLevel="0" collapsed="false">
      <c r="A384" s="0" t="n">
        <v>10380</v>
      </c>
      <c r="B384" s="3" t="n">
        <v>45437</v>
      </c>
      <c r="C384" s="0" t="n">
        <v>76</v>
      </c>
      <c r="D384" s="4" t="s">
        <v>22</v>
      </c>
      <c r="E384" s="4" t="s">
        <v>14</v>
      </c>
      <c r="F384" s="0" t="n">
        <v>23</v>
      </c>
      <c r="G384" s="5" t="n">
        <v>48.74</v>
      </c>
      <c r="H384" s="6" t="n">
        <v>0</v>
      </c>
      <c r="I384" s="5" t="n">
        <f aca="false">F384*G384*(1-H384)</f>
        <v>1121.02</v>
      </c>
      <c r="J384" s="4" t="s">
        <v>28</v>
      </c>
      <c r="K384" s="5" t="n">
        <f aca="false">VLOOKUP(D384,Products!$A$2:$E$26,4,FALSE())</f>
        <v>26.06</v>
      </c>
      <c r="L384" s="6" t="n">
        <f aca="false">(I384-F384*K384)/I384</f>
        <v>0.465326220763234</v>
      </c>
    </row>
    <row r="385" customFormat="false" ht="15" hidden="false" customHeight="false" outlineLevel="0" collapsed="false">
      <c r="A385" s="0" t="n">
        <v>10381</v>
      </c>
      <c r="B385" s="3" t="n">
        <v>45375</v>
      </c>
      <c r="C385" s="0" t="n">
        <v>26</v>
      </c>
      <c r="D385" s="4" t="s">
        <v>32</v>
      </c>
      <c r="E385" s="4" t="s">
        <v>20</v>
      </c>
      <c r="F385" s="0" t="n">
        <v>12</v>
      </c>
      <c r="G385" s="5" t="n">
        <v>351.35</v>
      </c>
      <c r="H385" s="6" t="n">
        <v>0</v>
      </c>
      <c r="I385" s="5" t="n">
        <f aca="false">F385*G385*(1-H385)</f>
        <v>4216.2</v>
      </c>
      <c r="J385" s="4" t="s">
        <v>18</v>
      </c>
      <c r="K385" s="5" t="n">
        <f aca="false">VLOOKUP(D385,Products!$A$2:$E$26,4,FALSE())</f>
        <v>144.3</v>
      </c>
      <c r="L385" s="6" t="n">
        <f aca="false">(I385-F385*K385)/I385</f>
        <v>0.58929842037854</v>
      </c>
    </row>
    <row r="386" customFormat="false" ht="15" hidden="false" customHeight="false" outlineLevel="0" collapsed="false">
      <c r="A386" s="0" t="n">
        <v>10382</v>
      </c>
      <c r="B386" s="3" t="n">
        <v>45485</v>
      </c>
      <c r="C386" s="0" t="n">
        <v>5</v>
      </c>
      <c r="D386" s="4" t="s">
        <v>16</v>
      </c>
      <c r="E386" s="4" t="s">
        <v>14</v>
      </c>
      <c r="F386" s="0" t="n">
        <v>26</v>
      </c>
      <c r="G386" s="5" t="n">
        <v>145.28</v>
      </c>
      <c r="H386" s="6" t="n">
        <v>0.1</v>
      </c>
      <c r="I386" s="5" t="n">
        <f aca="false">F386*G386*(1-H386)</f>
        <v>3399.552</v>
      </c>
      <c r="J386" s="4" t="s">
        <v>15</v>
      </c>
      <c r="K386" s="5" t="n">
        <f aca="false">VLOOKUP(D386,Products!$A$2:$E$26,4,FALSE())</f>
        <v>72.1</v>
      </c>
      <c r="L386" s="6" t="n">
        <f aca="false">(I386-F386*K386)/I386</f>
        <v>0.448574400391581</v>
      </c>
    </row>
    <row r="387" customFormat="false" ht="15" hidden="false" customHeight="false" outlineLevel="0" collapsed="false">
      <c r="A387" s="0" t="n">
        <v>10383</v>
      </c>
      <c r="B387" s="3" t="n">
        <v>45489</v>
      </c>
      <c r="C387" s="0" t="n">
        <v>80</v>
      </c>
      <c r="D387" s="4" t="s">
        <v>29</v>
      </c>
      <c r="E387" s="4" t="s">
        <v>14</v>
      </c>
      <c r="F387" s="0" t="n">
        <v>15</v>
      </c>
      <c r="G387" s="5" t="n">
        <v>80.78</v>
      </c>
      <c r="H387" s="6" t="n">
        <v>0.1</v>
      </c>
      <c r="I387" s="5" t="n">
        <f aca="false">F387*G387*(1-H387)</f>
        <v>1090.53</v>
      </c>
      <c r="J387" s="4" t="s">
        <v>15</v>
      </c>
      <c r="K387" s="5" t="n">
        <f aca="false">VLOOKUP(D387,Products!$A$2:$E$26,4,FALSE())</f>
        <v>38.68</v>
      </c>
      <c r="L387" s="6" t="n">
        <f aca="false">(I387-F387*K387)/I387</f>
        <v>0.467965117878463</v>
      </c>
    </row>
    <row r="388" customFormat="false" ht="15" hidden="false" customHeight="false" outlineLevel="0" collapsed="false">
      <c r="A388" s="0" t="n">
        <v>10384</v>
      </c>
      <c r="B388" s="3" t="n">
        <v>45478</v>
      </c>
      <c r="C388" s="0" t="n">
        <v>78</v>
      </c>
      <c r="D388" s="4" t="s">
        <v>25</v>
      </c>
      <c r="E388" s="4" t="s">
        <v>24</v>
      </c>
      <c r="F388" s="0" t="n">
        <v>7</v>
      </c>
      <c r="G388" s="5" t="n">
        <v>209.94</v>
      </c>
      <c r="H388" s="6" t="n">
        <v>0.05</v>
      </c>
      <c r="I388" s="5" t="n">
        <f aca="false">F388*G388*(1-H388)</f>
        <v>1396.101</v>
      </c>
      <c r="J388" s="4" t="s">
        <v>28</v>
      </c>
      <c r="K388" s="5" t="n">
        <f aca="false">VLOOKUP(D388,Products!$A$2:$E$26,4,FALSE())</f>
        <v>128.85</v>
      </c>
      <c r="L388" s="6" t="n">
        <f aca="false">(I388-F388*K388)/I388</f>
        <v>0.353950752846678</v>
      </c>
    </row>
    <row r="389" customFormat="false" ht="15" hidden="false" customHeight="false" outlineLevel="0" collapsed="false">
      <c r="A389" s="0" t="n">
        <v>10385</v>
      </c>
      <c r="B389" s="3" t="n">
        <v>45637</v>
      </c>
      <c r="C389" s="0" t="n">
        <v>67</v>
      </c>
      <c r="D389" s="4" t="s">
        <v>38</v>
      </c>
      <c r="E389" s="4" t="s">
        <v>21</v>
      </c>
      <c r="F389" s="0" t="n">
        <v>17</v>
      </c>
      <c r="G389" s="5" t="n">
        <v>168.12</v>
      </c>
      <c r="H389" s="6" t="n">
        <v>0</v>
      </c>
      <c r="I389" s="5" t="n">
        <f aca="false">F389*G389*(1-H389)</f>
        <v>2858.04</v>
      </c>
      <c r="J389" s="4" t="s">
        <v>18</v>
      </c>
      <c r="K389" s="5" t="n">
        <f aca="false">VLOOKUP(D389,Products!$A$2:$E$26,4,FALSE())</f>
        <v>107.25</v>
      </c>
      <c r="L389" s="6" t="n">
        <f aca="false">(I389-F389*K389)/I389</f>
        <v>0.362062812276945</v>
      </c>
    </row>
    <row r="390" customFormat="false" ht="15" hidden="false" customHeight="false" outlineLevel="0" collapsed="false">
      <c r="A390" s="0" t="n">
        <v>10386</v>
      </c>
      <c r="B390" s="3" t="n">
        <v>45407</v>
      </c>
      <c r="C390" s="0" t="n">
        <v>50</v>
      </c>
      <c r="D390" s="4" t="s">
        <v>17</v>
      </c>
      <c r="E390" s="4" t="s">
        <v>20</v>
      </c>
      <c r="F390" s="0" t="n">
        <v>15</v>
      </c>
      <c r="G390" s="5" t="n">
        <v>91.4</v>
      </c>
      <c r="H390" s="6" t="n">
        <v>0.05</v>
      </c>
      <c r="I390" s="5" t="n">
        <f aca="false">F390*G390*(1-H390)</f>
        <v>1302.45</v>
      </c>
      <c r="J390" s="4" t="s">
        <v>15</v>
      </c>
      <c r="K390" s="5" t="n">
        <f aca="false">VLOOKUP(D390,Products!$A$2:$E$26,4,FALSE())</f>
        <v>38.24</v>
      </c>
      <c r="L390" s="6" t="n">
        <f aca="false">(I390-F390*K390)/I390</f>
        <v>0.559599216860532</v>
      </c>
    </row>
    <row r="391" customFormat="false" ht="15" hidden="false" customHeight="false" outlineLevel="0" collapsed="false">
      <c r="A391" s="0" t="n">
        <v>10387</v>
      </c>
      <c r="B391" s="3" t="n">
        <v>45616</v>
      </c>
      <c r="C391" s="0" t="n">
        <v>70</v>
      </c>
      <c r="D391" s="4" t="s">
        <v>43</v>
      </c>
      <c r="E391" s="4" t="s">
        <v>14</v>
      </c>
      <c r="F391" s="0" t="n">
        <v>12</v>
      </c>
      <c r="G391" s="5" t="n">
        <v>220.95</v>
      </c>
      <c r="H391" s="6" t="n">
        <v>0.05</v>
      </c>
      <c r="I391" s="5" t="n">
        <f aca="false">F391*G391*(1-H391)</f>
        <v>2518.83</v>
      </c>
      <c r="J391" s="4" t="s">
        <v>15</v>
      </c>
      <c r="K391" s="5" t="n">
        <f aca="false">VLOOKUP(D391,Products!$A$2:$E$26,4,FALSE())</f>
        <v>126.91</v>
      </c>
      <c r="L391" s="6" t="n">
        <f aca="false">(I391-F391*K391)/I391</f>
        <v>0.395385953001989</v>
      </c>
    </row>
    <row r="392" customFormat="false" ht="15" hidden="false" customHeight="false" outlineLevel="0" collapsed="false">
      <c r="A392" s="0" t="n">
        <v>10388</v>
      </c>
      <c r="B392" s="3" t="n">
        <v>45341</v>
      </c>
      <c r="C392" s="0" t="n">
        <v>27</v>
      </c>
      <c r="D392" s="4" t="s">
        <v>27</v>
      </c>
      <c r="E392" s="4" t="s">
        <v>21</v>
      </c>
      <c r="F392" s="0" t="n">
        <v>5</v>
      </c>
      <c r="G392" s="5" t="n">
        <v>114.74</v>
      </c>
      <c r="H392" s="6" t="n">
        <v>0.05</v>
      </c>
      <c r="I392" s="5" t="n">
        <f aca="false">F392*G392*(1-H392)</f>
        <v>545.015</v>
      </c>
      <c r="J392" s="4" t="s">
        <v>15</v>
      </c>
      <c r="K392" s="5" t="n">
        <f aca="false">VLOOKUP(D392,Products!$A$2:$E$26,4,FALSE())</f>
        <v>45.07</v>
      </c>
      <c r="L392" s="6" t="n">
        <f aca="false">(I392-F392*K392)/I392</f>
        <v>0.586525141509867</v>
      </c>
    </row>
    <row r="393" customFormat="false" ht="15" hidden="false" customHeight="false" outlineLevel="0" collapsed="false">
      <c r="A393" s="0" t="n">
        <v>10389</v>
      </c>
      <c r="B393" s="3" t="n">
        <v>45376</v>
      </c>
      <c r="C393" s="0" t="n">
        <v>13</v>
      </c>
      <c r="D393" s="4" t="s">
        <v>35</v>
      </c>
      <c r="E393" s="4" t="s">
        <v>24</v>
      </c>
      <c r="F393" s="0" t="n">
        <v>40</v>
      </c>
      <c r="G393" s="5" t="n">
        <v>393.71</v>
      </c>
      <c r="H393" s="6" t="n">
        <v>0</v>
      </c>
      <c r="I393" s="5" t="n">
        <f aca="false">F393*G393*(1-H393)</f>
        <v>15748.4</v>
      </c>
      <c r="J393" s="4" t="s">
        <v>15</v>
      </c>
      <c r="K393" s="5" t="n">
        <f aca="false">VLOOKUP(D393,Products!$A$2:$E$26,4,FALSE())</f>
        <v>244.6</v>
      </c>
      <c r="L393" s="6" t="n">
        <f aca="false">(I393-F393*K393)/I393</f>
        <v>0.378730537705418</v>
      </c>
    </row>
    <row r="394" customFormat="false" ht="15" hidden="false" customHeight="false" outlineLevel="0" collapsed="false">
      <c r="A394" s="0" t="n">
        <v>10390</v>
      </c>
      <c r="B394" s="3" t="n">
        <v>45652</v>
      </c>
      <c r="C394" s="0" t="n">
        <v>77</v>
      </c>
      <c r="D394" s="4" t="s">
        <v>26</v>
      </c>
      <c r="E394" s="4" t="s">
        <v>20</v>
      </c>
      <c r="F394" s="0" t="n">
        <v>20</v>
      </c>
      <c r="G394" s="5" t="n">
        <v>51.78</v>
      </c>
      <c r="H394" s="6" t="n">
        <v>0.05</v>
      </c>
      <c r="I394" s="5" t="n">
        <f aca="false">F394*G394*(1-H394)</f>
        <v>983.82</v>
      </c>
      <c r="J394" s="4" t="s">
        <v>18</v>
      </c>
      <c r="K394" s="5" t="n">
        <f aca="false">VLOOKUP(D394,Products!$A$2:$E$26,4,FALSE())</f>
        <v>22.68</v>
      </c>
      <c r="L394" s="6" t="n">
        <f aca="false">(I394-F394*K394)/I394</f>
        <v>0.538940050009148</v>
      </c>
    </row>
    <row r="395" customFormat="false" ht="15" hidden="false" customHeight="false" outlineLevel="0" collapsed="false">
      <c r="A395" s="0" t="n">
        <v>10391</v>
      </c>
      <c r="B395" s="3" t="n">
        <v>45469</v>
      </c>
      <c r="C395" s="0" t="n">
        <v>72</v>
      </c>
      <c r="D395" s="4" t="s">
        <v>19</v>
      </c>
      <c r="E395" s="4" t="s">
        <v>21</v>
      </c>
      <c r="F395" s="0" t="n">
        <v>31</v>
      </c>
      <c r="G395" s="5" t="n">
        <v>222.16</v>
      </c>
      <c r="H395" s="6" t="n">
        <v>0</v>
      </c>
      <c r="I395" s="5" t="n">
        <f aca="false">F395*G395*(1-H395)</f>
        <v>6886.96</v>
      </c>
      <c r="J395" s="4" t="s">
        <v>15</v>
      </c>
      <c r="K395" s="5" t="n">
        <f aca="false">VLOOKUP(D395,Products!$A$2:$E$26,4,FALSE())</f>
        <v>83.93</v>
      </c>
      <c r="L395" s="6" t="n">
        <f aca="false">(I395-F395*K395)/I395</f>
        <v>0.622209218581203</v>
      </c>
    </row>
    <row r="396" customFormat="false" ht="15" hidden="false" customHeight="false" outlineLevel="0" collapsed="false">
      <c r="A396" s="0" t="n">
        <v>10392</v>
      </c>
      <c r="B396" s="3" t="n">
        <v>45385</v>
      </c>
      <c r="C396" s="0" t="n">
        <v>80</v>
      </c>
      <c r="D396" s="4" t="s">
        <v>25</v>
      </c>
      <c r="E396" s="4" t="s">
        <v>14</v>
      </c>
      <c r="F396" s="0" t="n">
        <v>18</v>
      </c>
      <c r="G396" s="5" t="n">
        <v>206.7</v>
      </c>
      <c r="H396" s="6" t="n">
        <v>0.1</v>
      </c>
      <c r="I396" s="5" t="n">
        <f aca="false">F396*G396*(1-H396)</f>
        <v>3348.54</v>
      </c>
      <c r="J396" s="4" t="s">
        <v>15</v>
      </c>
      <c r="K396" s="5" t="n">
        <f aca="false">VLOOKUP(D396,Products!$A$2:$E$26,4,FALSE())</f>
        <v>128.85</v>
      </c>
      <c r="L396" s="6" t="n">
        <f aca="false">(I396-F396*K396)/I396</f>
        <v>0.307369779067892</v>
      </c>
    </row>
    <row r="397" customFormat="false" ht="15" hidden="false" customHeight="false" outlineLevel="0" collapsed="false">
      <c r="A397" s="0" t="n">
        <v>10393</v>
      </c>
      <c r="B397" s="3" t="n">
        <v>45597</v>
      </c>
      <c r="C397" s="0" t="n">
        <v>16</v>
      </c>
      <c r="D397" s="4" t="s">
        <v>22</v>
      </c>
      <c r="E397" s="4" t="s">
        <v>20</v>
      </c>
      <c r="F397" s="0" t="n">
        <v>38</v>
      </c>
      <c r="G397" s="5" t="n">
        <v>49.74</v>
      </c>
      <c r="H397" s="6" t="n">
        <v>0</v>
      </c>
      <c r="I397" s="5" t="n">
        <f aca="false">F397*G397*(1-H397)</f>
        <v>1890.12</v>
      </c>
      <c r="J397" s="4" t="s">
        <v>28</v>
      </c>
      <c r="K397" s="5" t="n">
        <f aca="false">VLOOKUP(D397,Products!$A$2:$E$26,4,FALSE())</f>
        <v>26.06</v>
      </c>
      <c r="L397" s="6" t="n">
        <f aca="false">(I397-F397*K397)/I397</f>
        <v>0.476075593084037</v>
      </c>
    </row>
    <row r="398" customFormat="false" ht="15" hidden="false" customHeight="false" outlineLevel="0" collapsed="false">
      <c r="A398" s="0" t="n">
        <v>10394</v>
      </c>
      <c r="B398" s="3" t="n">
        <v>45351</v>
      </c>
      <c r="C398" s="0" t="n">
        <v>30</v>
      </c>
      <c r="D398" s="4" t="s">
        <v>38</v>
      </c>
      <c r="E398" s="4" t="s">
        <v>21</v>
      </c>
      <c r="F398" s="0" t="n">
        <v>6</v>
      </c>
      <c r="G398" s="5" t="n">
        <v>172.39</v>
      </c>
      <c r="H398" s="6" t="n">
        <v>0.05</v>
      </c>
      <c r="I398" s="5" t="n">
        <f aca="false">F398*G398*(1-H398)</f>
        <v>982.623</v>
      </c>
      <c r="J398" s="4" t="s">
        <v>15</v>
      </c>
      <c r="K398" s="5" t="n">
        <f aca="false">VLOOKUP(D398,Products!$A$2:$E$26,4,FALSE())</f>
        <v>107.25</v>
      </c>
      <c r="L398" s="6" t="n">
        <f aca="false">(I398-F398*K398)/I398</f>
        <v>0.345120152896889</v>
      </c>
    </row>
    <row r="399" customFormat="false" ht="15" hidden="false" customHeight="false" outlineLevel="0" collapsed="false">
      <c r="A399" s="0" t="n">
        <v>10395</v>
      </c>
      <c r="B399" s="3" t="n">
        <v>45327</v>
      </c>
      <c r="C399" s="0" t="n">
        <v>35</v>
      </c>
      <c r="D399" s="4" t="s">
        <v>35</v>
      </c>
      <c r="E399" s="4" t="s">
        <v>24</v>
      </c>
      <c r="F399" s="0" t="n">
        <v>3</v>
      </c>
      <c r="G399" s="5" t="n">
        <v>400.56</v>
      </c>
      <c r="H399" s="6" t="n">
        <v>0</v>
      </c>
      <c r="I399" s="5" t="n">
        <f aca="false">F399*G399*(1-H399)</f>
        <v>1201.68</v>
      </c>
      <c r="J399" s="4" t="s">
        <v>15</v>
      </c>
      <c r="K399" s="5" t="n">
        <f aca="false">VLOOKUP(D399,Products!$A$2:$E$26,4,FALSE())</f>
        <v>244.6</v>
      </c>
      <c r="L399" s="6" t="n">
        <f aca="false">(I399-F399*K399)/I399</f>
        <v>0.38935490313561</v>
      </c>
    </row>
    <row r="400" customFormat="false" ht="15" hidden="false" customHeight="false" outlineLevel="0" collapsed="false">
      <c r="A400" s="0" t="n">
        <v>10396</v>
      </c>
      <c r="B400" s="3" t="n">
        <v>45389</v>
      </c>
      <c r="C400" s="0" t="n">
        <v>27</v>
      </c>
      <c r="D400" s="4" t="s">
        <v>42</v>
      </c>
      <c r="E400" s="4" t="s">
        <v>20</v>
      </c>
      <c r="F400" s="0" t="n">
        <v>1</v>
      </c>
      <c r="G400" s="5" t="n">
        <v>79.21</v>
      </c>
      <c r="H400" s="6" t="n">
        <v>0.05</v>
      </c>
      <c r="I400" s="5" t="n">
        <f aca="false">F400*G400*(1-H400)</f>
        <v>75.2495</v>
      </c>
      <c r="J400" s="4" t="s">
        <v>15</v>
      </c>
      <c r="K400" s="5" t="n">
        <f aca="false">VLOOKUP(D400,Products!$A$2:$E$26,4,FALSE())</f>
        <v>47.32</v>
      </c>
      <c r="L400" s="6" t="n">
        <f aca="false">(I400-F400*K400)/I400</f>
        <v>0.371158612349584</v>
      </c>
    </row>
    <row r="401" customFormat="false" ht="15" hidden="false" customHeight="false" outlineLevel="0" collapsed="false">
      <c r="A401" s="0" t="n">
        <v>10397</v>
      </c>
      <c r="B401" s="3" t="n">
        <v>45578</v>
      </c>
      <c r="C401" s="0" t="n">
        <v>19</v>
      </c>
      <c r="D401" s="4" t="s">
        <v>36</v>
      </c>
      <c r="E401" s="4" t="s">
        <v>14</v>
      </c>
      <c r="F401" s="0" t="n">
        <v>34</v>
      </c>
      <c r="G401" s="5" t="n">
        <v>51.17</v>
      </c>
      <c r="H401" s="6" t="n">
        <v>0.1</v>
      </c>
      <c r="I401" s="5" t="n">
        <f aca="false">F401*G401*(1-H401)</f>
        <v>1565.802</v>
      </c>
      <c r="J401" s="4" t="s">
        <v>15</v>
      </c>
      <c r="K401" s="5" t="n">
        <f aca="false">VLOOKUP(D401,Products!$A$2:$E$26,4,FALSE())</f>
        <v>23.74</v>
      </c>
      <c r="L401" s="6" t="n">
        <f aca="false">(I401-F401*K401)/I401</f>
        <v>0.484506981087008</v>
      </c>
    </row>
    <row r="402" customFormat="false" ht="15" hidden="false" customHeight="false" outlineLevel="0" collapsed="false">
      <c r="A402" s="0" t="n">
        <v>10398</v>
      </c>
      <c r="B402" s="3" t="n">
        <v>45299</v>
      </c>
      <c r="C402" s="0" t="n">
        <v>9</v>
      </c>
      <c r="D402" s="4" t="s">
        <v>34</v>
      </c>
      <c r="E402" s="4" t="s">
        <v>20</v>
      </c>
      <c r="F402" s="0" t="n">
        <v>3</v>
      </c>
      <c r="G402" s="5" t="n">
        <v>21.62</v>
      </c>
      <c r="H402" s="6" t="n">
        <v>0</v>
      </c>
      <c r="I402" s="5" t="n">
        <f aca="false">F402*G402*(1-H402)</f>
        <v>64.86</v>
      </c>
      <c r="J402" s="4" t="s">
        <v>28</v>
      </c>
      <c r="K402" s="5" t="n">
        <f aca="false">VLOOKUP(D402,Products!$A$2:$E$26,4,FALSE())</f>
        <v>14.34</v>
      </c>
      <c r="L402" s="6" t="n">
        <f aca="false">(I402-F402*K402)/I402</f>
        <v>0.33672525439408</v>
      </c>
    </row>
    <row r="403" customFormat="false" ht="15" hidden="false" customHeight="false" outlineLevel="0" collapsed="false">
      <c r="A403" s="0" t="n">
        <v>10399</v>
      </c>
      <c r="B403" s="3" t="n">
        <v>45368</v>
      </c>
      <c r="C403" s="0" t="n">
        <v>17</v>
      </c>
      <c r="D403" s="4" t="s">
        <v>46</v>
      </c>
      <c r="E403" s="4" t="s">
        <v>20</v>
      </c>
      <c r="F403" s="0" t="n">
        <v>10</v>
      </c>
      <c r="G403" s="5" t="n">
        <v>325.37</v>
      </c>
      <c r="H403" s="6" t="n">
        <v>0</v>
      </c>
      <c r="I403" s="5" t="n">
        <f aca="false">F403*G403*(1-H403)</f>
        <v>3253.7</v>
      </c>
      <c r="J403" s="4" t="s">
        <v>18</v>
      </c>
      <c r="K403" s="5" t="n">
        <f aca="false">VLOOKUP(D403,Products!$A$2:$E$26,4,FALSE())</f>
        <v>219.79</v>
      </c>
      <c r="L403" s="6" t="n">
        <f aca="false">(I403-F403*K403)/I403</f>
        <v>0.324492116667179</v>
      </c>
    </row>
    <row r="404" customFormat="false" ht="15" hidden="false" customHeight="false" outlineLevel="0" collapsed="false">
      <c r="A404" s="0" t="n">
        <v>10400</v>
      </c>
      <c r="B404" s="3" t="n">
        <v>45522</v>
      </c>
      <c r="C404" s="0" t="n">
        <v>11</v>
      </c>
      <c r="D404" s="4" t="s">
        <v>29</v>
      </c>
      <c r="E404" s="4" t="s">
        <v>24</v>
      </c>
      <c r="F404" s="0" t="n">
        <v>9</v>
      </c>
      <c r="G404" s="5" t="n">
        <v>79.77</v>
      </c>
      <c r="H404" s="6" t="n">
        <v>0.1</v>
      </c>
      <c r="I404" s="5" t="n">
        <f aca="false">F404*G404*(1-H404)</f>
        <v>646.137</v>
      </c>
      <c r="J404" s="4" t="s">
        <v>15</v>
      </c>
      <c r="K404" s="5" t="n">
        <f aca="false">VLOOKUP(D404,Products!$A$2:$E$26,4,FALSE())</f>
        <v>38.68</v>
      </c>
      <c r="L404" s="6" t="n">
        <f aca="false">(I404-F404*K404)/I404</f>
        <v>0.461228810608277</v>
      </c>
    </row>
    <row r="405" customFormat="false" ht="15" hidden="false" customHeight="false" outlineLevel="0" collapsed="false">
      <c r="A405" s="0" t="n">
        <v>10401</v>
      </c>
      <c r="B405" s="3" t="n">
        <v>45392</v>
      </c>
      <c r="C405" s="0" t="n">
        <v>34</v>
      </c>
      <c r="D405" s="4" t="s">
        <v>46</v>
      </c>
      <c r="E405" s="4" t="s">
        <v>24</v>
      </c>
      <c r="F405" s="0" t="n">
        <v>8</v>
      </c>
      <c r="G405" s="5" t="n">
        <v>319.9</v>
      </c>
      <c r="H405" s="6" t="n">
        <v>0</v>
      </c>
      <c r="I405" s="5" t="n">
        <f aca="false">F405*G405*(1-H405)</f>
        <v>2559.2</v>
      </c>
      <c r="J405" s="4" t="s">
        <v>28</v>
      </c>
      <c r="K405" s="5" t="n">
        <f aca="false">VLOOKUP(D405,Products!$A$2:$E$26,4,FALSE())</f>
        <v>219.79</v>
      </c>
      <c r="L405" s="6" t="n">
        <f aca="false">(I405-F405*K405)/I405</f>
        <v>0.312941544232573</v>
      </c>
    </row>
    <row r="406" customFormat="false" ht="15" hidden="false" customHeight="false" outlineLevel="0" collapsed="false">
      <c r="A406" s="0" t="n">
        <v>10402</v>
      </c>
      <c r="B406" s="3" t="n">
        <v>45620</v>
      </c>
      <c r="C406" s="0" t="n">
        <v>74</v>
      </c>
      <c r="D406" s="4" t="s">
        <v>13</v>
      </c>
      <c r="E406" s="4" t="s">
        <v>24</v>
      </c>
      <c r="F406" s="0" t="n">
        <v>28</v>
      </c>
      <c r="G406" s="5" t="n">
        <v>89.9</v>
      </c>
      <c r="H406" s="6" t="n">
        <v>0.1</v>
      </c>
      <c r="I406" s="5" t="n">
        <f aca="false">F406*G406*(1-H406)</f>
        <v>2265.48</v>
      </c>
      <c r="J406" s="4" t="s">
        <v>15</v>
      </c>
      <c r="K406" s="5" t="n">
        <f aca="false">VLOOKUP(D406,Products!$A$2:$E$26,4,FALSE())</f>
        <v>39.86</v>
      </c>
      <c r="L406" s="6" t="n">
        <f aca="false">(I406-F406*K406)/I406</f>
        <v>0.507353849956742</v>
      </c>
    </row>
    <row r="407" customFormat="false" ht="15" hidden="false" customHeight="false" outlineLevel="0" collapsed="false">
      <c r="A407" s="0" t="n">
        <v>10403</v>
      </c>
      <c r="B407" s="3" t="n">
        <v>45352</v>
      </c>
      <c r="C407" s="0" t="n">
        <v>11</v>
      </c>
      <c r="D407" s="4" t="s">
        <v>36</v>
      </c>
      <c r="E407" s="4" t="s">
        <v>20</v>
      </c>
      <c r="F407" s="0" t="n">
        <v>30</v>
      </c>
      <c r="G407" s="5" t="n">
        <v>49.71</v>
      </c>
      <c r="H407" s="6" t="n">
        <v>0</v>
      </c>
      <c r="I407" s="5" t="n">
        <f aca="false">F407*G407*(1-H407)</f>
        <v>1491.3</v>
      </c>
      <c r="J407" s="4" t="s">
        <v>15</v>
      </c>
      <c r="K407" s="5" t="n">
        <f aca="false">VLOOKUP(D407,Products!$A$2:$E$26,4,FALSE())</f>
        <v>23.74</v>
      </c>
      <c r="L407" s="6" t="n">
        <f aca="false">(I407-F407*K407)/I407</f>
        <v>0.522430094548381</v>
      </c>
    </row>
    <row r="408" customFormat="false" ht="15" hidden="false" customHeight="false" outlineLevel="0" collapsed="false">
      <c r="A408" s="0" t="n">
        <v>10404</v>
      </c>
      <c r="B408" s="3" t="n">
        <v>45570</v>
      </c>
      <c r="C408" s="0" t="n">
        <v>64</v>
      </c>
      <c r="D408" s="4" t="s">
        <v>16</v>
      </c>
      <c r="E408" s="4" t="s">
        <v>20</v>
      </c>
      <c r="F408" s="0" t="n">
        <v>20</v>
      </c>
      <c r="G408" s="5" t="n">
        <v>151.34</v>
      </c>
      <c r="H408" s="6" t="n">
        <v>0.1</v>
      </c>
      <c r="I408" s="5" t="n">
        <f aca="false">F408*G408*(1-H408)</f>
        <v>2724.12</v>
      </c>
      <c r="J408" s="4" t="s">
        <v>18</v>
      </c>
      <c r="K408" s="5" t="n">
        <f aca="false">VLOOKUP(D408,Products!$A$2:$E$26,4,FALSE())</f>
        <v>72.1</v>
      </c>
      <c r="L408" s="6" t="n">
        <f aca="false">(I408-F408*K408)/I408</f>
        <v>0.470654743550211</v>
      </c>
    </row>
    <row r="409" customFormat="false" ht="15" hidden="false" customHeight="false" outlineLevel="0" collapsed="false">
      <c r="A409" s="0" t="n">
        <v>10405</v>
      </c>
      <c r="B409" s="3" t="n">
        <v>45308</v>
      </c>
      <c r="C409" s="0" t="n">
        <v>33</v>
      </c>
      <c r="D409" s="4" t="s">
        <v>30</v>
      </c>
      <c r="E409" s="4" t="s">
        <v>20</v>
      </c>
      <c r="F409" s="0" t="n">
        <v>30</v>
      </c>
      <c r="G409" s="5" t="n">
        <v>210.69</v>
      </c>
      <c r="H409" s="6" t="n">
        <v>0</v>
      </c>
      <c r="I409" s="5" t="n">
        <f aca="false">F409*G409*(1-H409)</f>
        <v>6320.7</v>
      </c>
      <c r="J409" s="4" t="s">
        <v>18</v>
      </c>
      <c r="K409" s="5" t="n">
        <f aca="false">VLOOKUP(D409,Products!$A$2:$E$26,4,FALSE())</f>
        <v>97.8</v>
      </c>
      <c r="L409" s="6" t="n">
        <f aca="false">(I409-F409*K409)/I409</f>
        <v>0.535810907019792</v>
      </c>
    </row>
    <row r="410" customFormat="false" ht="15" hidden="false" customHeight="false" outlineLevel="0" collapsed="false">
      <c r="A410" s="0" t="n">
        <v>10406</v>
      </c>
      <c r="B410" s="3" t="n">
        <v>45304</v>
      </c>
      <c r="C410" s="0" t="n">
        <v>18</v>
      </c>
      <c r="D410" s="4" t="s">
        <v>45</v>
      </c>
      <c r="E410" s="4" t="s">
        <v>20</v>
      </c>
      <c r="F410" s="0" t="n">
        <v>7</v>
      </c>
      <c r="G410" s="5" t="n">
        <v>93.68</v>
      </c>
      <c r="H410" s="6" t="n">
        <v>0</v>
      </c>
      <c r="I410" s="5" t="n">
        <f aca="false">F410*G410*(1-H410)</f>
        <v>655.76</v>
      </c>
      <c r="J410" s="4" t="s">
        <v>15</v>
      </c>
      <c r="K410" s="5" t="n">
        <f aca="false">VLOOKUP(D410,Products!$A$2:$E$26,4,FALSE())</f>
        <v>41.2</v>
      </c>
      <c r="L410" s="6" t="n">
        <f aca="false">(I410-F410*K410)/I410</f>
        <v>0.560204953031597</v>
      </c>
    </row>
    <row r="411" customFormat="false" ht="15" hidden="false" customHeight="false" outlineLevel="0" collapsed="false">
      <c r="A411" s="0" t="n">
        <v>10407</v>
      </c>
      <c r="B411" s="3" t="n">
        <v>45594</v>
      </c>
      <c r="C411" s="0" t="n">
        <v>62</v>
      </c>
      <c r="D411" s="4" t="s">
        <v>16</v>
      </c>
      <c r="E411" s="4" t="s">
        <v>21</v>
      </c>
      <c r="F411" s="0" t="n">
        <v>2</v>
      </c>
      <c r="G411" s="5" t="n">
        <v>146.48</v>
      </c>
      <c r="H411" s="6" t="n">
        <v>0.15</v>
      </c>
      <c r="I411" s="5" t="n">
        <f aca="false">F411*G411*(1-H411)</f>
        <v>249.016</v>
      </c>
      <c r="J411" s="4" t="s">
        <v>15</v>
      </c>
      <c r="K411" s="5" t="n">
        <f aca="false">VLOOKUP(D411,Products!$A$2:$E$26,4,FALSE())</f>
        <v>72.1</v>
      </c>
      <c r="L411" s="6" t="n">
        <f aca="false">(I411-F411*K411)/I411</f>
        <v>0.420920744048575</v>
      </c>
    </row>
    <row r="412" customFormat="false" ht="15" hidden="false" customHeight="false" outlineLevel="0" collapsed="false">
      <c r="A412" s="0" t="n">
        <v>10408</v>
      </c>
      <c r="B412" s="3" t="n">
        <v>45511</v>
      </c>
      <c r="C412" s="0" t="n">
        <v>14</v>
      </c>
      <c r="D412" s="4" t="s">
        <v>44</v>
      </c>
      <c r="E412" s="4" t="s">
        <v>14</v>
      </c>
      <c r="F412" s="0" t="n">
        <v>13</v>
      </c>
      <c r="G412" s="5" t="n">
        <v>30.72</v>
      </c>
      <c r="H412" s="6" t="n">
        <v>0.05</v>
      </c>
      <c r="I412" s="5" t="n">
        <f aca="false">F412*G412*(1-H412)</f>
        <v>379.392</v>
      </c>
      <c r="J412" s="4" t="s">
        <v>28</v>
      </c>
      <c r="K412" s="5" t="n">
        <f aca="false">VLOOKUP(D412,Products!$A$2:$E$26,4,FALSE())</f>
        <v>18.41</v>
      </c>
      <c r="L412" s="6" t="n">
        <f aca="false">(I412-F412*K412)/I412</f>
        <v>0.369174890350877</v>
      </c>
    </row>
    <row r="413" customFormat="false" ht="15" hidden="false" customHeight="false" outlineLevel="0" collapsed="false">
      <c r="A413" s="0" t="n">
        <v>10409</v>
      </c>
      <c r="B413" s="3" t="n">
        <v>45485</v>
      </c>
      <c r="C413" s="0" t="n">
        <v>6</v>
      </c>
      <c r="D413" s="4" t="s">
        <v>38</v>
      </c>
      <c r="E413" s="4" t="s">
        <v>24</v>
      </c>
      <c r="F413" s="0" t="n">
        <v>6</v>
      </c>
      <c r="G413" s="5" t="n">
        <v>173.65</v>
      </c>
      <c r="H413" s="6" t="n">
        <v>0.05</v>
      </c>
      <c r="I413" s="5" t="n">
        <f aca="false">F413*G413*(1-H413)</f>
        <v>989.805</v>
      </c>
      <c r="J413" s="4" t="s">
        <v>15</v>
      </c>
      <c r="K413" s="5" t="n">
        <f aca="false">VLOOKUP(D413,Products!$A$2:$E$26,4,FALSE())</f>
        <v>107.25</v>
      </c>
      <c r="L413" s="6" t="n">
        <f aca="false">(I413-F413*K413)/I413</f>
        <v>0.349871944473912</v>
      </c>
    </row>
    <row r="414" customFormat="false" ht="15" hidden="false" customHeight="false" outlineLevel="0" collapsed="false">
      <c r="A414" s="0" t="n">
        <v>10410</v>
      </c>
      <c r="B414" s="3" t="n">
        <v>45618</v>
      </c>
      <c r="C414" s="0" t="n">
        <v>77</v>
      </c>
      <c r="D414" s="4" t="s">
        <v>22</v>
      </c>
      <c r="E414" s="4" t="s">
        <v>14</v>
      </c>
      <c r="F414" s="0" t="n">
        <v>18</v>
      </c>
      <c r="G414" s="5" t="n">
        <v>48.32</v>
      </c>
      <c r="H414" s="6" t="n">
        <v>0</v>
      </c>
      <c r="I414" s="5" t="n">
        <f aca="false">F414*G414*(1-H414)</f>
        <v>869.76</v>
      </c>
      <c r="J414" s="4" t="s">
        <v>15</v>
      </c>
      <c r="K414" s="5" t="n">
        <f aca="false">VLOOKUP(D414,Products!$A$2:$E$26,4,FALSE())</f>
        <v>26.06</v>
      </c>
      <c r="L414" s="6" t="n">
        <f aca="false">(I414-F414*K414)/I414</f>
        <v>0.46067880794702</v>
      </c>
    </row>
    <row r="415" customFormat="false" ht="15" hidden="false" customHeight="false" outlineLevel="0" collapsed="false">
      <c r="A415" s="0" t="n">
        <v>10411</v>
      </c>
      <c r="B415" s="3" t="n">
        <v>45588</v>
      </c>
      <c r="C415" s="0" t="n">
        <v>39</v>
      </c>
      <c r="D415" s="4" t="s">
        <v>46</v>
      </c>
      <c r="E415" s="4" t="s">
        <v>24</v>
      </c>
      <c r="F415" s="0" t="n">
        <v>21</v>
      </c>
      <c r="G415" s="5" t="n">
        <v>316.81</v>
      </c>
      <c r="H415" s="6" t="n">
        <v>0</v>
      </c>
      <c r="I415" s="5" t="n">
        <f aca="false">F415*G415*(1-H415)</f>
        <v>6653.01</v>
      </c>
      <c r="J415" s="4" t="s">
        <v>15</v>
      </c>
      <c r="K415" s="5" t="n">
        <f aca="false">VLOOKUP(D415,Products!$A$2:$E$26,4,FALSE())</f>
        <v>219.79</v>
      </c>
      <c r="L415" s="6" t="n">
        <f aca="false">(I415-F415*K415)/I415</f>
        <v>0.306240333322812</v>
      </c>
    </row>
    <row r="416" customFormat="false" ht="15" hidden="false" customHeight="false" outlineLevel="0" collapsed="false">
      <c r="A416" s="0" t="n">
        <v>10412</v>
      </c>
      <c r="B416" s="3" t="n">
        <v>45370</v>
      </c>
      <c r="C416" s="0" t="n">
        <v>96</v>
      </c>
      <c r="D416" s="4" t="s">
        <v>31</v>
      </c>
      <c r="E416" s="4" t="s">
        <v>21</v>
      </c>
      <c r="F416" s="0" t="n">
        <v>23</v>
      </c>
      <c r="G416" s="5" t="n">
        <v>43.86</v>
      </c>
      <c r="H416" s="6" t="n">
        <v>0</v>
      </c>
      <c r="I416" s="5" t="n">
        <f aca="false">F416*G416*(1-H416)</f>
        <v>1008.78</v>
      </c>
      <c r="J416" s="4" t="s">
        <v>15</v>
      </c>
      <c r="K416" s="5" t="n">
        <f aca="false">VLOOKUP(D416,Products!$A$2:$E$26,4,FALSE())</f>
        <v>23.25</v>
      </c>
      <c r="L416" s="6" t="n">
        <f aca="false">(I416-F416*K416)/I416</f>
        <v>0.469904240766074</v>
      </c>
    </row>
    <row r="417" customFormat="false" ht="15" hidden="false" customHeight="false" outlineLevel="0" collapsed="false">
      <c r="A417" s="0" t="n">
        <v>10413</v>
      </c>
      <c r="B417" s="3" t="n">
        <v>45624</v>
      </c>
      <c r="C417" s="0" t="n">
        <v>61</v>
      </c>
      <c r="D417" s="4" t="s">
        <v>33</v>
      </c>
      <c r="E417" s="4" t="s">
        <v>21</v>
      </c>
      <c r="F417" s="0" t="n">
        <v>20</v>
      </c>
      <c r="G417" s="5" t="n">
        <v>45.1</v>
      </c>
      <c r="H417" s="6" t="n">
        <v>0.05</v>
      </c>
      <c r="I417" s="5" t="n">
        <f aca="false">F417*G417*(1-H417)</f>
        <v>856.9</v>
      </c>
      <c r="J417" s="4" t="s">
        <v>15</v>
      </c>
      <c r="K417" s="5" t="n">
        <f aca="false">VLOOKUP(D417,Products!$A$2:$E$26,4,FALSE())</f>
        <v>28.4</v>
      </c>
      <c r="L417" s="6" t="n">
        <f aca="false">(I417-F417*K417)/I417</f>
        <v>0.337145524565294</v>
      </c>
    </row>
    <row r="418" customFormat="false" ht="15" hidden="false" customHeight="false" outlineLevel="0" collapsed="false">
      <c r="A418" s="0" t="n">
        <v>10414</v>
      </c>
      <c r="B418" s="3" t="n">
        <v>45580</v>
      </c>
      <c r="C418" s="0" t="n">
        <v>22</v>
      </c>
      <c r="D418" s="4" t="s">
        <v>33</v>
      </c>
      <c r="E418" s="4" t="s">
        <v>14</v>
      </c>
      <c r="F418" s="0" t="n">
        <v>11</v>
      </c>
      <c r="G418" s="5" t="n">
        <v>43.62</v>
      </c>
      <c r="H418" s="6" t="n">
        <v>0.05</v>
      </c>
      <c r="I418" s="5" t="n">
        <f aca="false">F418*G418*(1-H418)</f>
        <v>455.829</v>
      </c>
      <c r="J418" s="4" t="s">
        <v>18</v>
      </c>
      <c r="K418" s="5" t="n">
        <f aca="false">VLOOKUP(D418,Products!$A$2:$E$26,4,FALSE())</f>
        <v>28.4</v>
      </c>
      <c r="L418" s="6" t="n">
        <f aca="false">(I418-F418*K418)/I418</f>
        <v>0.314655276430416</v>
      </c>
    </row>
    <row r="419" customFormat="false" ht="15" hidden="false" customHeight="false" outlineLevel="0" collapsed="false">
      <c r="A419" s="0" t="n">
        <v>10415</v>
      </c>
      <c r="B419" s="3" t="n">
        <v>45322</v>
      </c>
      <c r="C419" s="0" t="n">
        <v>1</v>
      </c>
      <c r="D419" s="4" t="s">
        <v>34</v>
      </c>
      <c r="E419" s="4" t="s">
        <v>14</v>
      </c>
      <c r="F419" s="0" t="n">
        <v>14</v>
      </c>
      <c r="G419" s="5" t="n">
        <v>22.62</v>
      </c>
      <c r="H419" s="6" t="n">
        <v>0</v>
      </c>
      <c r="I419" s="5" t="n">
        <f aca="false">F419*G419*(1-H419)</f>
        <v>316.68</v>
      </c>
      <c r="J419" s="4" t="s">
        <v>15</v>
      </c>
      <c r="K419" s="5" t="n">
        <f aca="false">VLOOKUP(D419,Products!$A$2:$E$26,4,FALSE())</f>
        <v>14.34</v>
      </c>
      <c r="L419" s="6" t="n">
        <f aca="false">(I419-F419*K419)/I419</f>
        <v>0.36604774535809</v>
      </c>
    </row>
    <row r="420" customFormat="false" ht="15" hidden="false" customHeight="false" outlineLevel="0" collapsed="false">
      <c r="A420" s="0" t="n">
        <v>10416</v>
      </c>
      <c r="B420" s="3" t="n">
        <v>45380</v>
      </c>
      <c r="C420" s="0" t="n">
        <v>15</v>
      </c>
      <c r="D420" s="4" t="s">
        <v>37</v>
      </c>
      <c r="E420" s="4" t="s">
        <v>14</v>
      </c>
      <c r="F420" s="0" t="n">
        <v>24</v>
      </c>
      <c r="G420" s="5" t="n">
        <v>8.52</v>
      </c>
      <c r="H420" s="6" t="n">
        <v>0.05</v>
      </c>
      <c r="I420" s="5" t="n">
        <f aca="false">F420*G420*(1-H420)</f>
        <v>194.256</v>
      </c>
      <c r="J420" s="4" t="s">
        <v>18</v>
      </c>
      <c r="K420" s="5" t="n">
        <f aca="false">VLOOKUP(D420,Products!$A$2:$E$26,4,FALSE())</f>
        <v>3.88</v>
      </c>
      <c r="L420" s="6" t="n">
        <f aca="false">(I420-F420*K420)/I420</f>
        <v>0.520632567333828</v>
      </c>
    </row>
    <row r="421" customFormat="false" ht="15" hidden="false" customHeight="false" outlineLevel="0" collapsed="false">
      <c r="A421" s="0" t="n">
        <v>10417</v>
      </c>
      <c r="B421" s="3" t="n">
        <v>45483</v>
      </c>
      <c r="C421" s="0" t="n">
        <v>57</v>
      </c>
      <c r="D421" s="4" t="s">
        <v>19</v>
      </c>
      <c r="E421" s="4" t="s">
        <v>24</v>
      </c>
      <c r="F421" s="0" t="n">
        <v>38</v>
      </c>
      <c r="G421" s="5" t="n">
        <v>217.05</v>
      </c>
      <c r="H421" s="6" t="n">
        <v>0</v>
      </c>
      <c r="I421" s="5" t="n">
        <f aca="false">F421*G421*(1-H421)</f>
        <v>8247.9</v>
      </c>
      <c r="J421" s="4" t="s">
        <v>15</v>
      </c>
      <c r="K421" s="5" t="n">
        <f aca="false">VLOOKUP(D421,Products!$A$2:$E$26,4,FALSE())</f>
        <v>83.93</v>
      </c>
      <c r="L421" s="6" t="n">
        <f aca="false">(I421-F421*K421)/I421</f>
        <v>0.613314904399908</v>
      </c>
    </row>
    <row r="422" customFormat="false" ht="15" hidden="false" customHeight="false" outlineLevel="0" collapsed="false">
      <c r="A422" s="0" t="n">
        <v>10418</v>
      </c>
      <c r="B422" s="3" t="n">
        <v>45373</v>
      </c>
      <c r="C422" s="0" t="n">
        <v>56</v>
      </c>
      <c r="D422" s="4" t="s">
        <v>38</v>
      </c>
      <c r="E422" s="4" t="s">
        <v>24</v>
      </c>
      <c r="F422" s="0" t="n">
        <v>4</v>
      </c>
      <c r="G422" s="5" t="n">
        <v>181.38</v>
      </c>
      <c r="H422" s="6" t="n">
        <v>0.1</v>
      </c>
      <c r="I422" s="5" t="n">
        <f aca="false">F422*G422*(1-H422)</f>
        <v>652.968</v>
      </c>
      <c r="J422" s="4" t="s">
        <v>28</v>
      </c>
      <c r="K422" s="5" t="n">
        <f aca="false">VLOOKUP(D422,Products!$A$2:$E$26,4,FALSE())</f>
        <v>107.25</v>
      </c>
      <c r="L422" s="6" t="n">
        <f aca="false">(I422-F422*K422)/I422</f>
        <v>0.342999963244753</v>
      </c>
    </row>
    <row r="423" customFormat="false" ht="15" hidden="false" customHeight="false" outlineLevel="0" collapsed="false">
      <c r="A423" s="0" t="n">
        <v>10419</v>
      </c>
      <c r="B423" s="3" t="n">
        <v>45477</v>
      </c>
      <c r="C423" s="0" t="n">
        <v>42</v>
      </c>
      <c r="D423" s="4" t="s">
        <v>26</v>
      </c>
      <c r="E423" s="4" t="s">
        <v>21</v>
      </c>
      <c r="F423" s="0" t="n">
        <v>5</v>
      </c>
      <c r="G423" s="5" t="n">
        <v>51.32</v>
      </c>
      <c r="H423" s="6" t="n">
        <v>0.15</v>
      </c>
      <c r="I423" s="5" t="n">
        <f aca="false">F423*G423*(1-H423)</f>
        <v>218.11</v>
      </c>
      <c r="J423" s="4" t="s">
        <v>15</v>
      </c>
      <c r="K423" s="5" t="n">
        <f aca="false">VLOOKUP(D423,Products!$A$2:$E$26,4,FALSE())</f>
        <v>22.68</v>
      </c>
      <c r="L423" s="6" t="n">
        <f aca="false">(I423-F423*K423)/I423</f>
        <v>0.480078859291183</v>
      </c>
    </row>
    <row r="424" customFormat="false" ht="15" hidden="false" customHeight="false" outlineLevel="0" collapsed="false">
      <c r="A424" s="0" t="n">
        <v>10420</v>
      </c>
      <c r="B424" s="3" t="n">
        <v>45402</v>
      </c>
      <c r="C424" s="0" t="n">
        <v>46</v>
      </c>
      <c r="D424" s="4" t="s">
        <v>32</v>
      </c>
      <c r="E424" s="4" t="s">
        <v>21</v>
      </c>
      <c r="F424" s="0" t="n">
        <v>40</v>
      </c>
      <c r="G424" s="5" t="n">
        <v>364.08</v>
      </c>
      <c r="H424" s="6" t="n">
        <v>0</v>
      </c>
      <c r="I424" s="5" t="n">
        <f aca="false">F424*G424*(1-H424)</f>
        <v>14563.2</v>
      </c>
      <c r="J424" s="4" t="s">
        <v>15</v>
      </c>
      <c r="K424" s="5" t="n">
        <f aca="false">VLOOKUP(D424,Products!$A$2:$E$26,4,FALSE())</f>
        <v>144.3</v>
      </c>
      <c r="L424" s="6" t="n">
        <f aca="false">(I424-F424*K424)/I424</f>
        <v>0.603658536585366</v>
      </c>
    </row>
    <row r="425" customFormat="false" ht="15" hidden="false" customHeight="false" outlineLevel="0" collapsed="false">
      <c r="A425" s="0" t="n">
        <v>10421</v>
      </c>
      <c r="B425" s="3" t="n">
        <v>45344</v>
      </c>
      <c r="C425" s="0" t="n">
        <v>37</v>
      </c>
      <c r="D425" s="4" t="s">
        <v>35</v>
      </c>
      <c r="E425" s="4" t="s">
        <v>21</v>
      </c>
      <c r="F425" s="0" t="n">
        <v>29</v>
      </c>
      <c r="G425" s="5" t="n">
        <v>381.38</v>
      </c>
      <c r="H425" s="6" t="n">
        <v>0</v>
      </c>
      <c r="I425" s="5" t="n">
        <f aca="false">F425*G425*(1-H425)</f>
        <v>11060.02</v>
      </c>
      <c r="J425" s="4" t="s">
        <v>28</v>
      </c>
      <c r="K425" s="5" t="n">
        <f aca="false">VLOOKUP(D425,Products!$A$2:$E$26,4,FALSE())</f>
        <v>244.6</v>
      </c>
      <c r="L425" s="6" t="n">
        <f aca="false">(I425-F425*K425)/I425</f>
        <v>0.358644921076092</v>
      </c>
    </row>
    <row r="426" customFormat="false" ht="15" hidden="false" customHeight="false" outlineLevel="0" collapsed="false">
      <c r="A426" s="0" t="n">
        <v>10422</v>
      </c>
      <c r="B426" s="3" t="n">
        <v>45370</v>
      </c>
      <c r="C426" s="0" t="n">
        <v>67</v>
      </c>
      <c r="D426" s="4" t="s">
        <v>27</v>
      </c>
      <c r="E426" s="4" t="s">
        <v>20</v>
      </c>
      <c r="F426" s="0" t="n">
        <v>15</v>
      </c>
      <c r="G426" s="5" t="n">
        <v>117.09</v>
      </c>
      <c r="H426" s="6" t="n">
        <v>0.05</v>
      </c>
      <c r="I426" s="5" t="n">
        <f aca="false">F426*G426*(1-H426)</f>
        <v>1668.5325</v>
      </c>
      <c r="J426" s="4" t="s">
        <v>18</v>
      </c>
      <c r="K426" s="5" t="n">
        <f aca="false">VLOOKUP(D426,Products!$A$2:$E$26,4,FALSE())</f>
        <v>45.07</v>
      </c>
      <c r="L426" s="6" t="n">
        <f aca="false">(I426-F426*K426)/I426</f>
        <v>0.594823594985414</v>
      </c>
    </row>
    <row r="427" customFormat="false" ht="15" hidden="false" customHeight="false" outlineLevel="0" collapsed="false">
      <c r="A427" s="0" t="n">
        <v>10423</v>
      </c>
      <c r="B427" s="3" t="n">
        <v>45381</v>
      </c>
      <c r="C427" s="0" t="n">
        <v>11</v>
      </c>
      <c r="D427" s="4" t="s">
        <v>45</v>
      </c>
      <c r="E427" s="4" t="s">
        <v>24</v>
      </c>
      <c r="F427" s="0" t="n">
        <v>17</v>
      </c>
      <c r="G427" s="5" t="n">
        <v>101.33</v>
      </c>
      <c r="H427" s="6" t="n">
        <v>0.15</v>
      </c>
      <c r="I427" s="5" t="n">
        <f aca="false">F427*G427*(1-H427)</f>
        <v>1464.2185</v>
      </c>
      <c r="J427" s="4" t="s">
        <v>15</v>
      </c>
      <c r="K427" s="5" t="n">
        <f aca="false">VLOOKUP(D427,Products!$A$2:$E$26,4,FALSE())</f>
        <v>41.2</v>
      </c>
      <c r="L427" s="6" t="n">
        <f aca="false">(I427-F427*K427)/I427</f>
        <v>0.521656091628401</v>
      </c>
    </row>
    <row r="428" customFormat="false" ht="15" hidden="false" customHeight="false" outlineLevel="0" collapsed="false">
      <c r="A428" s="0" t="n">
        <v>10424</v>
      </c>
      <c r="B428" s="3" t="n">
        <v>45522</v>
      </c>
      <c r="C428" s="0" t="n">
        <v>50</v>
      </c>
      <c r="D428" s="4" t="s">
        <v>27</v>
      </c>
      <c r="E428" s="4" t="s">
        <v>20</v>
      </c>
      <c r="F428" s="0" t="n">
        <v>28</v>
      </c>
      <c r="G428" s="5" t="n">
        <v>115.78</v>
      </c>
      <c r="H428" s="6" t="n">
        <v>0.1</v>
      </c>
      <c r="I428" s="5" t="n">
        <f aca="false">F428*G428*(1-H428)</f>
        <v>2917.656</v>
      </c>
      <c r="J428" s="4" t="s">
        <v>15</v>
      </c>
      <c r="K428" s="5" t="n">
        <f aca="false">VLOOKUP(D428,Products!$A$2:$E$26,4,FALSE())</f>
        <v>45.07</v>
      </c>
      <c r="L428" s="6" t="n">
        <f aca="false">(I428-F428*K428)/I428</f>
        <v>0.567474712577494</v>
      </c>
    </row>
    <row r="429" customFormat="false" ht="15" hidden="false" customHeight="false" outlineLevel="0" collapsed="false">
      <c r="A429" s="0" t="n">
        <v>10425</v>
      </c>
      <c r="B429" s="3" t="n">
        <v>45433</v>
      </c>
      <c r="C429" s="0" t="n">
        <v>60</v>
      </c>
      <c r="D429" s="4" t="s">
        <v>30</v>
      </c>
      <c r="E429" s="4" t="s">
        <v>21</v>
      </c>
      <c r="F429" s="0" t="n">
        <v>34</v>
      </c>
      <c r="G429" s="5" t="n">
        <v>217.77</v>
      </c>
      <c r="H429" s="6" t="n">
        <v>0.1</v>
      </c>
      <c r="I429" s="5" t="n">
        <f aca="false">F429*G429*(1-H429)</f>
        <v>6663.762</v>
      </c>
      <c r="J429" s="4" t="s">
        <v>18</v>
      </c>
      <c r="K429" s="5" t="n">
        <f aca="false">VLOOKUP(D429,Products!$A$2:$E$26,4,FALSE())</f>
        <v>97.8</v>
      </c>
      <c r="L429" s="6" t="n">
        <f aca="false">(I429-F429*K429)/I429</f>
        <v>0.501002586827081</v>
      </c>
    </row>
    <row r="430" customFormat="false" ht="15" hidden="false" customHeight="false" outlineLevel="0" collapsed="false">
      <c r="A430" s="0" t="n">
        <v>10426</v>
      </c>
      <c r="B430" s="3" t="n">
        <v>45607</v>
      </c>
      <c r="C430" s="0" t="n">
        <v>44</v>
      </c>
      <c r="D430" s="4" t="s">
        <v>19</v>
      </c>
      <c r="E430" s="4" t="s">
        <v>24</v>
      </c>
      <c r="F430" s="0" t="n">
        <v>2</v>
      </c>
      <c r="G430" s="5" t="n">
        <v>217.92</v>
      </c>
      <c r="H430" s="6" t="n">
        <v>0</v>
      </c>
      <c r="I430" s="5" t="n">
        <f aca="false">F430*G430*(1-H430)</f>
        <v>435.84</v>
      </c>
      <c r="J430" s="4" t="s">
        <v>15</v>
      </c>
      <c r="K430" s="5" t="n">
        <f aca="false">VLOOKUP(D430,Products!$A$2:$E$26,4,FALSE())</f>
        <v>83.93</v>
      </c>
      <c r="L430" s="6" t="n">
        <f aca="false">(I430-F430*K430)/I430</f>
        <v>0.614858663729809</v>
      </c>
    </row>
    <row r="431" customFormat="false" ht="15" hidden="false" customHeight="false" outlineLevel="0" collapsed="false">
      <c r="A431" s="0" t="n">
        <v>10427</v>
      </c>
      <c r="B431" s="3" t="n">
        <v>45350</v>
      </c>
      <c r="C431" s="0" t="n">
        <v>59</v>
      </c>
      <c r="D431" s="4" t="s">
        <v>13</v>
      </c>
      <c r="E431" s="4" t="s">
        <v>14</v>
      </c>
      <c r="F431" s="0" t="n">
        <v>1</v>
      </c>
      <c r="G431" s="5" t="n">
        <v>90.46</v>
      </c>
      <c r="H431" s="6" t="n">
        <v>0</v>
      </c>
      <c r="I431" s="5" t="n">
        <f aca="false">F431*G431*(1-H431)</f>
        <v>90.46</v>
      </c>
      <c r="J431" s="4" t="s">
        <v>15</v>
      </c>
      <c r="K431" s="5" t="n">
        <f aca="false">VLOOKUP(D431,Products!$A$2:$E$26,4,FALSE())</f>
        <v>39.86</v>
      </c>
      <c r="L431" s="6" t="n">
        <f aca="false">(I431-F431*K431)/I431</f>
        <v>0.559363254477117</v>
      </c>
    </row>
    <row r="432" customFormat="false" ht="15" hidden="false" customHeight="false" outlineLevel="0" collapsed="false">
      <c r="A432" s="0" t="n">
        <v>10428</v>
      </c>
      <c r="B432" s="3" t="n">
        <v>45489</v>
      </c>
      <c r="C432" s="0" t="n">
        <v>35</v>
      </c>
      <c r="D432" s="4" t="s">
        <v>33</v>
      </c>
      <c r="E432" s="4" t="s">
        <v>14</v>
      </c>
      <c r="F432" s="0" t="n">
        <v>6</v>
      </c>
      <c r="G432" s="5" t="n">
        <v>44.06</v>
      </c>
      <c r="H432" s="6" t="n">
        <v>0.15</v>
      </c>
      <c r="I432" s="5" t="n">
        <f aca="false">F432*G432*(1-H432)</f>
        <v>224.706</v>
      </c>
      <c r="J432" s="4" t="s">
        <v>15</v>
      </c>
      <c r="K432" s="5" t="n">
        <f aca="false">VLOOKUP(D432,Products!$A$2:$E$26,4,FALSE())</f>
        <v>28.4</v>
      </c>
      <c r="L432" s="6" t="n">
        <f aca="false">(I432-F432*K432)/I432</f>
        <v>0.24167578969854</v>
      </c>
    </row>
    <row r="433" customFormat="false" ht="15" hidden="false" customHeight="false" outlineLevel="0" collapsed="false">
      <c r="A433" s="0" t="n">
        <v>10429</v>
      </c>
      <c r="B433" s="3" t="n">
        <v>45466</v>
      </c>
      <c r="C433" s="0" t="n">
        <v>56</v>
      </c>
      <c r="D433" s="4" t="s">
        <v>35</v>
      </c>
      <c r="E433" s="4" t="s">
        <v>21</v>
      </c>
      <c r="F433" s="0" t="n">
        <v>9</v>
      </c>
      <c r="G433" s="5" t="n">
        <v>392.42</v>
      </c>
      <c r="H433" s="6" t="n">
        <v>0</v>
      </c>
      <c r="I433" s="5" t="n">
        <f aca="false">F433*G433*(1-H433)</f>
        <v>3531.78</v>
      </c>
      <c r="J433" s="4" t="s">
        <v>28</v>
      </c>
      <c r="K433" s="5" t="n">
        <f aca="false">VLOOKUP(D433,Products!$A$2:$E$26,4,FALSE())</f>
        <v>244.6</v>
      </c>
      <c r="L433" s="6" t="n">
        <f aca="false">(I433-F433*K433)/I433</f>
        <v>0.376688242189491</v>
      </c>
    </row>
    <row r="434" customFormat="false" ht="15" hidden="false" customHeight="false" outlineLevel="0" collapsed="false">
      <c r="A434" s="0" t="n">
        <v>10430</v>
      </c>
      <c r="B434" s="3" t="n">
        <v>45502</v>
      </c>
      <c r="C434" s="0" t="n">
        <v>42</v>
      </c>
      <c r="D434" s="4" t="s">
        <v>34</v>
      </c>
      <c r="E434" s="4" t="s">
        <v>20</v>
      </c>
      <c r="F434" s="0" t="n">
        <v>7</v>
      </c>
      <c r="G434" s="5" t="n">
        <v>22.08</v>
      </c>
      <c r="H434" s="6" t="n">
        <v>0</v>
      </c>
      <c r="I434" s="5" t="n">
        <f aca="false">F434*G434*(1-H434)</f>
        <v>154.56</v>
      </c>
      <c r="J434" s="4" t="s">
        <v>15</v>
      </c>
      <c r="K434" s="5" t="n">
        <f aca="false">VLOOKUP(D434,Products!$A$2:$E$26,4,FALSE())</f>
        <v>14.34</v>
      </c>
      <c r="L434" s="6" t="n">
        <f aca="false">(I434-F434*K434)/I434</f>
        <v>0.35054347826087</v>
      </c>
    </row>
    <row r="435" customFormat="false" ht="15" hidden="false" customHeight="false" outlineLevel="0" collapsed="false">
      <c r="A435" s="0" t="n">
        <v>10431</v>
      </c>
      <c r="B435" s="3" t="n">
        <v>45367</v>
      </c>
      <c r="C435" s="0" t="n">
        <v>60</v>
      </c>
      <c r="D435" s="4" t="s">
        <v>13</v>
      </c>
      <c r="E435" s="4" t="s">
        <v>20</v>
      </c>
      <c r="F435" s="0" t="n">
        <v>31</v>
      </c>
      <c r="G435" s="5" t="n">
        <v>93.89</v>
      </c>
      <c r="H435" s="6" t="n">
        <v>0.15</v>
      </c>
      <c r="I435" s="5" t="n">
        <f aca="false">F435*G435*(1-H435)</f>
        <v>2474.0015</v>
      </c>
      <c r="J435" s="4" t="s">
        <v>15</v>
      </c>
      <c r="K435" s="5" t="n">
        <f aca="false">VLOOKUP(D435,Products!$A$2:$E$26,4,FALSE())</f>
        <v>39.86</v>
      </c>
      <c r="L435" s="6" t="n">
        <f aca="false">(I435-F435*K435)/I435</f>
        <v>0.500541935807234</v>
      </c>
    </row>
    <row r="436" customFormat="false" ht="15" hidden="false" customHeight="false" outlineLevel="0" collapsed="false">
      <c r="A436" s="0" t="n">
        <v>10432</v>
      </c>
      <c r="B436" s="3" t="n">
        <v>45508</v>
      </c>
      <c r="C436" s="0" t="n">
        <v>27</v>
      </c>
      <c r="D436" s="4" t="s">
        <v>43</v>
      </c>
      <c r="E436" s="4" t="s">
        <v>21</v>
      </c>
      <c r="F436" s="0" t="n">
        <v>22</v>
      </c>
      <c r="G436" s="5" t="n">
        <v>208.26</v>
      </c>
      <c r="H436" s="6" t="n">
        <v>0.05</v>
      </c>
      <c r="I436" s="5" t="n">
        <f aca="false">F436*G436*(1-H436)</f>
        <v>4352.634</v>
      </c>
      <c r="J436" s="4" t="s">
        <v>15</v>
      </c>
      <c r="K436" s="5" t="n">
        <f aca="false">VLOOKUP(D436,Products!$A$2:$E$26,4,FALSE())</f>
        <v>126.91</v>
      </c>
      <c r="L436" s="6" t="n">
        <f aca="false">(I436-F436*K436)/I436</f>
        <v>0.358544734062179</v>
      </c>
    </row>
    <row r="437" customFormat="false" ht="15" hidden="false" customHeight="false" outlineLevel="0" collapsed="false">
      <c r="A437" s="0" t="n">
        <v>10433</v>
      </c>
      <c r="B437" s="3" t="n">
        <v>45396</v>
      </c>
      <c r="C437" s="0" t="n">
        <v>26</v>
      </c>
      <c r="D437" s="4" t="s">
        <v>26</v>
      </c>
      <c r="E437" s="4" t="s">
        <v>14</v>
      </c>
      <c r="F437" s="0" t="n">
        <v>6</v>
      </c>
      <c r="G437" s="5" t="n">
        <v>53.28</v>
      </c>
      <c r="H437" s="6" t="n">
        <v>0.15</v>
      </c>
      <c r="I437" s="5" t="n">
        <f aca="false">F437*G437*(1-H437)</f>
        <v>271.728</v>
      </c>
      <c r="J437" s="4" t="s">
        <v>28</v>
      </c>
      <c r="K437" s="5" t="n">
        <f aca="false">VLOOKUP(D437,Products!$A$2:$E$26,4,FALSE())</f>
        <v>22.68</v>
      </c>
      <c r="L437" s="6" t="n">
        <f aca="false">(I437-F437*K437)/I437</f>
        <v>0.499205087440382</v>
      </c>
    </row>
    <row r="438" customFormat="false" ht="15" hidden="false" customHeight="false" outlineLevel="0" collapsed="false">
      <c r="A438" s="0" t="n">
        <v>10434</v>
      </c>
      <c r="B438" s="3" t="n">
        <v>45626</v>
      </c>
      <c r="C438" s="0" t="n">
        <v>21</v>
      </c>
      <c r="D438" s="4" t="s">
        <v>35</v>
      </c>
      <c r="E438" s="4" t="s">
        <v>14</v>
      </c>
      <c r="F438" s="0" t="n">
        <v>29</v>
      </c>
      <c r="G438" s="5" t="n">
        <v>385.67</v>
      </c>
      <c r="H438" s="6" t="n">
        <v>0</v>
      </c>
      <c r="I438" s="5" t="n">
        <f aca="false">F438*G438*(1-H438)</f>
        <v>11184.43</v>
      </c>
      <c r="J438" s="4" t="s">
        <v>18</v>
      </c>
      <c r="K438" s="5" t="n">
        <f aca="false">VLOOKUP(D438,Products!$A$2:$E$26,4,FALSE())</f>
        <v>244.6</v>
      </c>
      <c r="L438" s="6" t="n">
        <f aca="false">(I438-F438*K438)/I438</f>
        <v>0.365779033889076</v>
      </c>
    </row>
    <row r="439" customFormat="false" ht="15" hidden="false" customHeight="false" outlineLevel="0" collapsed="false">
      <c r="A439" s="0" t="n">
        <v>10435</v>
      </c>
      <c r="B439" s="3" t="n">
        <v>45450</v>
      </c>
      <c r="C439" s="0" t="n">
        <v>6</v>
      </c>
      <c r="D439" s="4" t="s">
        <v>31</v>
      </c>
      <c r="E439" s="4" t="s">
        <v>14</v>
      </c>
      <c r="F439" s="0" t="n">
        <v>30</v>
      </c>
      <c r="G439" s="5" t="n">
        <v>45.84</v>
      </c>
      <c r="H439" s="6" t="n">
        <v>0.15</v>
      </c>
      <c r="I439" s="5" t="n">
        <f aca="false">F439*G439*(1-H439)</f>
        <v>1168.92</v>
      </c>
      <c r="J439" s="4" t="s">
        <v>15</v>
      </c>
      <c r="K439" s="5" t="n">
        <f aca="false">VLOOKUP(D439,Products!$A$2:$E$26,4,FALSE())</f>
        <v>23.25</v>
      </c>
      <c r="L439" s="6" t="n">
        <f aca="false">(I439-F439*K439)/I439</f>
        <v>0.403295349553434</v>
      </c>
    </row>
    <row r="440" customFormat="false" ht="15" hidden="false" customHeight="false" outlineLevel="0" collapsed="false">
      <c r="A440" s="0" t="n">
        <v>10436</v>
      </c>
      <c r="B440" s="3" t="n">
        <v>45550</v>
      </c>
      <c r="C440" s="0" t="n">
        <v>73</v>
      </c>
      <c r="D440" s="4" t="s">
        <v>41</v>
      </c>
      <c r="E440" s="4" t="s">
        <v>14</v>
      </c>
      <c r="F440" s="0" t="n">
        <v>28</v>
      </c>
      <c r="G440" s="5" t="n">
        <v>25.15</v>
      </c>
      <c r="H440" s="6" t="n">
        <v>0</v>
      </c>
      <c r="I440" s="5" t="n">
        <f aca="false">F440*G440*(1-H440)</f>
        <v>704.2</v>
      </c>
      <c r="J440" s="4" t="s">
        <v>15</v>
      </c>
      <c r="K440" s="5" t="n">
        <f aca="false">VLOOKUP(D440,Products!$A$2:$E$26,4,FALSE())</f>
        <v>12.46</v>
      </c>
      <c r="L440" s="6" t="n">
        <f aca="false">(I440-F440*K440)/I440</f>
        <v>0.504572564612326</v>
      </c>
    </row>
    <row r="441" customFormat="false" ht="15" hidden="false" customHeight="false" outlineLevel="0" collapsed="false">
      <c r="A441" s="0" t="n">
        <v>10437</v>
      </c>
      <c r="B441" s="3" t="n">
        <v>45314</v>
      </c>
      <c r="C441" s="0" t="n">
        <v>46</v>
      </c>
      <c r="D441" s="4" t="s">
        <v>42</v>
      </c>
      <c r="E441" s="4" t="s">
        <v>24</v>
      </c>
      <c r="F441" s="0" t="n">
        <v>18</v>
      </c>
      <c r="G441" s="5" t="n">
        <v>74.78</v>
      </c>
      <c r="H441" s="6" t="n">
        <v>0</v>
      </c>
      <c r="I441" s="5" t="n">
        <f aca="false">F441*G441*(1-H441)</f>
        <v>1346.04</v>
      </c>
      <c r="J441" s="4" t="s">
        <v>28</v>
      </c>
      <c r="K441" s="5" t="n">
        <f aca="false">VLOOKUP(D441,Products!$A$2:$E$26,4,FALSE())</f>
        <v>47.32</v>
      </c>
      <c r="L441" s="6" t="n">
        <f aca="false">(I441-F441*K441)/I441</f>
        <v>0.367210484086654</v>
      </c>
    </row>
    <row r="442" customFormat="false" ht="15" hidden="false" customHeight="false" outlineLevel="0" collapsed="false">
      <c r="A442" s="0" t="n">
        <v>10438</v>
      </c>
      <c r="B442" s="3" t="n">
        <v>45638</v>
      </c>
      <c r="C442" s="0" t="n">
        <v>68</v>
      </c>
      <c r="D442" s="4" t="s">
        <v>33</v>
      </c>
      <c r="E442" s="4" t="s">
        <v>24</v>
      </c>
      <c r="F442" s="0" t="n">
        <v>9</v>
      </c>
      <c r="G442" s="5" t="n">
        <v>43.01</v>
      </c>
      <c r="H442" s="6" t="n">
        <v>0</v>
      </c>
      <c r="I442" s="5" t="n">
        <f aca="false">F442*G442*(1-H442)</f>
        <v>387.09</v>
      </c>
      <c r="J442" s="4" t="s">
        <v>28</v>
      </c>
      <c r="K442" s="5" t="n">
        <f aca="false">VLOOKUP(D442,Products!$A$2:$E$26,4,FALSE())</f>
        <v>28.4</v>
      </c>
      <c r="L442" s="6" t="n">
        <f aca="false">(I442-F442*K442)/I442</f>
        <v>0.33968844454778</v>
      </c>
    </row>
    <row r="443" customFormat="false" ht="15" hidden="false" customHeight="false" outlineLevel="0" collapsed="false">
      <c r="A443" s="0" t="n">
        <v>10439</v>
      </c>
      <c r="B443" s="3" t="n">
        <v>45363</v>
      </c>
      <c r="C443" s="0" t="n">
        <v>79</v>
      </c>
      <c r="D443" s="4" t="s">
        <v>38</v>
      </c>
      <c r="E443" s="4" t="s">
        <v>20</v>
      </c>
      <c r="F443" s="0" t="n">
        <v>31</v>
      </c>
      <c r="G443" s="5" t="n">
        <v>177.19</v>
      </c>
      <c r="H443" s="6" t="n">
        <v>0</v>
      </c>
      <c r="I443" s="5" t="n">
        <f aca="false">F443*G443*(1-H443)</f>
        <v>5492.89</v>
      </c>
      <c r="J443" s="4" t="s">
        <v>18</v>
      </c>
      <c r="K443" s="5" t="n">
        <f aca="false">VLOOKUP(D443,Products!$A$2:$E$26,4,FALSE())</f>
        <v>107.25</v>
      </c>
      <c r="L443" s="6" t="n">
        <f aca="false">(I443-F443*K443)/I443</f>
        <v>0.394717534849597</v>
      </c>
    </row>
    <row r="444" customFormat="false" ht="15" hidden="false" customHeight="false" outlineLevel="0" collapsed="false">
      <c r="A444" s="0" t="n">
        <v>10440</v>
      </c>
      <c r="B444" s="3" t="n">
        <v>45366</v>
      </c>
      <c r="C444" s="0" t="n">
        <v>13</v>
      </c>
      <c r="D444" s="4" t="s">
        <v>43</v>
      </c>
      <c r="E444" s="4" t="s">
        <v>24</v>
      </c>
      <c r="F444" s="0" t="n">
        <v>38</v>
      </c>
      <c r="G444" s="5" t="n">
        <v>218.23</v>
      </c>
      <c r="H444" s="6" t="n">
        <v>0</v>
      </c>
      <c r="I444" s="5" t="n">
        <f aca="false">F444*G444*(1-H444)</f>
        <v>8292.74</v>
      </c>
      <c r="J444" s="4" t="s">
        <v>15</v>
      </c>
      <c r="K444" s="5" t="n">
        <f aca="false">VLOOKUP(D444,Products!$A$2:$E$26,4,FALSE())</f>
        <v>126.91</v>
      </c>
      <c r="L444" s="6" t="n">
        <f aca="false">(I444-F444*K444)/I444</f>
        <v>0.418457590615406</v>
      </c>
    </row>
    <row r="445" customFormat="false" ht="15" hidden="false" customHeight="false" outlineLevel="0" collapsed="false">
      <c r="A445" s="0" t="n">
        <v>10441</v>
      </c>
      <c r="B445" s="3" t="n">
        <v>45561</v>
      </c>
      <c r="C445" s="0" t="n">
        <v>44</v>
      </c>
      <c r="D445" s="4" t="s">
        <v>29</v>
      </c>
      <c r="E445" s="4" t="s">
        <v>24</v>
      </c>
      <c r="F445" s="0" t="n">
        <v>38</v>
      </c>
      <c r="G445" s="5" t="n">
        <v>80.7</v>
      </c>
      <c r="H445" s="6" t="n">
        <v>0.15</v>
      </c>
      <c r="I445" s="5" t="n">
        <f aca="false">F445*G445*(1-H445)</f>
        <v>2606.61</v>
      </c>
      <c r="J445" s="4" t="s">
        <v>28</v>
      </c>
      <c r="K445" s="5" t="n">
        <f aca="false">VLOOKUP(D445,Products!$A$2:$E$26,4,FALSE())</f>
        <v>38.68</v>
      </c>
      <c r="L445" s="6" t="n">
        <f aca="false">(I445-F445*K445)/I445</f>
        <v>0.436110503681026</v>
      </c>
    </row>
    <row r="446" customFormat="false" ht="15" hidden="false" customHeight="false" outlineLevel="0" collapsed="false">
      <c r="A446" s="0" t="n">
        <v>10442</v>
      </c>
      <c r="B446" s="3" t="n">
        <v>45343</v>
      </c>
      <c r="C446" s="0" t="n">
        <v>12</v>
      </c>
      <c r="D446" s="4" t="s">
        <v>22</v>
      </c>
      <c r="E446" s="4" t="s">
        <v>21</v>
      </c>
      <c r="F446" s="0" t="n">
        <v>1</v>
      </c>
      <c r="G446" s="5" t="n">
        <v>50.23</v>
      </c>
      <c r="H446" s="6" t="n">
        <v>0</v>
      </c>
      <c r="I446" s="5" t="n">
        <f aca="false">F446*G446*(1-H446)</f>
        <v>50.23</v>
      </c>
      <c r="J446" s="4" t="s">
        <v>28</v>
      </c>
      <c r="K446" s="5" t="n">
        <f aca="false">VLOOKUP(D446,Products!$A$2:$E$26,4,FALSE())</f>
        <v>26.06</v>
      </c>
      <c r="L446" s="6" t="n">
        <f aca="false">(I446-F446*K446)/I446</f>
        <v>0.481186541907227</v>
      </c>
    </row>
    <row r="447" customFormat="false" ht="15" hidden="false" customHeight="false" outlineLevel="0" collapsed="false">
      <c r="A447" s="0" t="n">
        <v>10443</v>
      </c>
      <c r="B447" s="3" t="n">
        <v>45327</v>
      </c>
      <c r="C447" s="0" t="n">
        <v>9</v>
      </c>
      <c r="D447" s="4" t="s">
        <v>30</v>
      </c>
      <c r="E447" s="4" t="s">
        <v>24</v>
      </c>
      <c r="F447" s="0" t="n">
        <v>36</v>
      </c>
      <c r="G447" s="5" t="n">
        <v>209.88</v>
      </c>
      <c r="H447" s="6" t="n">
        <v>0</v>
      </c>
      <c r="I447" s="5" t="n">
        <f aca="false">F447*G447*(1-H447)</f>
        <v>7555.68</v>
      </c>
      <c r="J447" s="4" t="s">
        <v>15</v>
      </c>
      <c r="K447" s="5" t="n">
        <f aca="false">VLOOKUP(D447,Products!$A$2:$E$26,4,FALSE())</f>
        <v>97.8</v>
      </c>
      <c r="L447" s="6" t="n">
        <f aca="false">(I447-F447*K447)/I447</f>
        <v>0.534019439679817</v>
      </c>
    </row>
    <row r="448" customFormat="false" ht="15" hidden="false" customHeight="false" outlineLevel="0" collapsed="false">
      <c r="A448" s="0" t="n">
        <v>10444</v>
      </c>
      <c r="B448" s="3" t="n">
        <v>45309</v>
      </c>
      <c r="C448" s="0" t="n">
        <v>8</v>
      </c>
      <c r="D448" s="4" t="s">
        <v>43</v>
      </c>
      <c r="E448" s="4" t="s">
        <v>14</v>
      </c>
      <c r="F448" s="0" t="n">
        <v>11</v>
      </c>
      <c r="G448" s="5" t="n">
        <v>200.86</v>
      </c>
      <c r="H448" s="6" t="n">
        <v>0.05</v>
      </c>
      <c r="I448" s="5" t="n">
        <f aca="false">F448*G448*(1-H448)</f>
        <v>2098.987</v>
      </c>
      <c r="J448" s="4" t="s">
        <v>15</v>
      </c>
      <c r="K448" s="5" t="n">
        <f aca="false">VLOOKUP(D448,Products!$A$2:$E$26,4,FALSE())</f>
        <v>126.91</v>
      </c>
      <c r="L448" s="6" t="n">
        <f aca="false">(I448-F448*K448)/I448</f>
        <v>0.334912507795427</v>
      </c>
    </row>
    <row r="449" customFormat="false" ht="15" hidden="false" customHeight="false" outlineLevel="0" collapsed="false">
      <c r="A449" s="0" t="n">
        <v>10445</v>
      </c>
      <c r="B449" s="3" t="n">
        <v>45378</v>
      </c>
      <c r="C449" s="0" t="n">
        <v>37</v>
      </c>
      <c r="D449" s="4" t="s">
        <v>25</v>
      </c>
      <c r="E449" s="4" t="s">
        <v>20</v>
      </c>
      <c r="F449" s="0" t="n">
        <v>21</v>
      </c>
      <c r="G449" s="5" t="n">
        <v>203.62</v>
      </c>
      <c r="H449" s="6" t="n">
        <v>0.1</v>
      </c>
      <c r="I449" s="5" t="n">
        <f aca="false">F449*G449*(1-H449)</f>
        <v>3848.418</v>
      </c>
      <c r="J449" s="4" t="s">
        <v>28</v>
      </c>
      <c r="K449" s="5" t="n">
        <f aca="false">VLOOKUP(D449,Products!$A$2:$E$26,4,FALSE())</f>
        <v>128.85</v>
      </c>
      <c r="L449" s="6" t="n">
        <f aca="false">(I449-F449*K449)/I449</f>
        <v>0.296892905084635</v>
      </c>
    </row>
    <row r="450" customFormat="false" ht="15" hidden="false" customHeight="false" outlineLevel="0" collapsed="false">
      <c r="A450" s="0" t="n">
        <v>10446</v>
      </c>
      <c r="B450" s="3" t="n">
        <v>45628</v>
      </c>
      <c r="C450" s="0" t="n">
        <v>72</v>
      </c>
      <c r="D450" s="4" t="s">
        <v>16</v>
      </c>
      <c r="E450" s="4" t="s">
        <v>24</v>
      </c>
      <c r="F450" s="0" t="n">
        <v>19</v>
      </c>
      <c r="G450" s="5" t="n">
        <v>137.79</v>
      </c>
      <c r="H450" s="6" t="n">
        <v>0</v>
      </c>
      <c r="I450" s="5" t="n">
        <f aca="false">F450*G450*(1-H450)</f>
        <v>2618.01</v>
      </c>
      <c r="J450" s="4" t="s">
        <v>28</v>
      </c>
      <c r="K450" s="5" t="n">
        <f aca="false">VLOOKUP(D450,Products!$A$2:$E$26,4,FALSE())</f>
        <v>72.1</v>
      </c>
      <c r="L450" s="6" t="n">
        <f aca="false">(I450-F450*K450)/I450</f>
        <v>0.476739966615865</v>
      </c>
    </row>
    <row r="451" customFormat="false" ht="15" hidden="false" customHeight="false" outlineLevel="0" collapsed="false">
      <c r="A451" s="0" t="n">
        <v>10447</v>
      </c>
      <c r="B451" s="3" t="n">
        <v>45467</v>
      </c>
      <c r="C451" s="0" t="n">
        <v>8</v>
      </c>
      <c r="D451" s="4" t="s">
        <v>36</v>
      </c>
      <c r="E451" s="4" t="s">
        <v>14</v>
      </c>
      <c r="F451" s="0" t="n">
        <v>29</v>
      </c>
      <c r="G451" s="5" t="n">
        <v>52.53</v>
      </c>
      <c r="H451" s="6" t="n">
        <v>0</v>
      </c>
      <c r="I451" s="5" t="n">
        <f aca="false">F451*G451*(1-H451)</f>
        <v>1523.37</v>
      </c>
      <c r="J451" s="4" t="s">
        <v>18</v>
      </c>
      <c r="K451" s="5" t="n">
        <f aca="false">VLOOKUP(D451,Products!$A$2:$E$26,4,FALSE())</f>
        <v>23.74</v>
      </c>
      <c r="L451" s="6" t="n">
        <f aca="false">(I451-F451*K451)/I451</f>
        <v>0.54806777079764</v>
      </c>
    </row>
    <row r="452" customFormat="false" ht="15" hidden="false" customHeight="false" outlineLevel="0" collapsed="false">
      <c r="A452" s="0" t="n">
        <v>10448</v>
      </c>
      <c r="B452" s="3" t="n">
        <v>45313</v>
      </c>
      <c r="C452" s="0" t="n">
        <v>3</v>
      </c>
      <c r="D452" s="4" t="s">
        <v>25</v>
      </c>
      <c r="E452" s="4" t="s">
        <v>21</v>
      </c>
      <c r="F452" s="0" t="n">
        <v>40</v>
      </c>
      <c r="G452" s="5" t="n">
        <v>204.27</v>
      </c>
      <c r="H452" s="6" t="n">
        <v>0.05</v>
      </c>
      <c r="I452" s="5" t="n">
        <f aca="false">F452*G452*(1-H452)</f>
        <v>7762.26</v>
      </c>
      <c r="J452" s="4" t="s">
        <v>15</v>
      </c>
      <c r="K452" s="5" t="n">
        <f aca="false">VLOOKUP(D452,Products!$A$2:$E$26,4,FALSE())</f>
        <v>128.85</v>
      </c>
      <c r="L452" s="6" t="n">
        <f aca="false">(I452-F452*K452)/I452</f>
        <v>0.33601811843458</v>
      </c>
    </row>
    <row r="453" customFormat="false" ht="15" hidden="false" customHeight="false" outlineLevel="0" collapsed="false">
      <c r="A453" s="0" t="n">
        <v>10449</v>
      </c>
      <c r="B453" s="3" t="n">
        <v>45518</v>
      </c>
      <c r="C453" s="0" t="n">
        <v>42</v>
      </c>
      <c r="D453" s="4" t="s">
        <v>34</v>
      </c>
      <c r="E453" s="4" t="s">
        <v>24</v>
      </c>
      <c r="F453" s="0" t="n">
        <v>3</v>
      </c>
      <c r="G453" s="5" t="n">
        <v>22.45</v>
      </c>
      <c r="H453" s="6" t="n">
        <v>0.15</v>
      </c>
      <c r="I453" s="5" t="n">
        <f aca="false">F453*G453*(1-H453)</f>
        <v>57.2475</v>
      </c>
      <c r="J453" s="4" t="s">
        <v>15</v>
      </c>
      <c r="K453" s="5" t="n">
        <f aca="false">VLOOKUP(D453,Products!$A$2:$E$26,4,FALSE())</f>
        <v>14.34</v>
      </c>
      <c r="L453" s="6" t="n">
        <f aca="false">(I453-F453*K453)/I453</f>
        <v>0.248526136512511</v>
      </c>
    </row>
    <row r="454" customFormat="false" ht="15" hidden="false" customHeight="false" outlineLevel="0" collapsed="false">
      <c r="A454" s="0" t="n">
        <v>10450</v>
      </c>
      <c r="B454" s="3" t="n">
        <v>45620</v>
      </c>
      <c r="C454" s="0" t="n">
        <v>16</v>
      </c>
      <c r="D454" s="4" t="s">
        <v>36</v>
      </c>
      <c r="E454" s="4" t="s">
        <v>21</v>
      </c>
      <c r="F454" s="0" t="n">
        <v>1</v>
      </c>
      <c r="G454" s="5" t="n">
        <v>52.61</v>
      </c>
      <c r="H454" s="6" t="n">
        <v>0</v>
      </c>
      <c r="I454" s="5" t="n">
        <f aca="false">F454*G454*(1-H454)</f>
        <v>52.61</v>
      </c>
      <c r="J454" s="4" t="s">
        <v>15</v>
      </c>
      <c r="K454" s="5" t="n">
        <f aca="false">VLOOKUP(D454,Products!$A$2:$E$26,4,FALSE())</f>
        <v>23.74</v>
      </c>
      <c r="L454" s="6" t="n">
        <f aca="false">(I454-F454*K454)/I454</f>
        <v>0.548754989545714</v>
      </c>
    </row>
    <row r="455" customFormat="false" ht="15" hidden="false" customHeight="false" outlineLevel="0" collapsed="false">
      <c r="A455" s="0" t="n">
        <v>10451</v>
      </c>
      <c r="B455" s="3" t="n">
        <v>45375</v>
      </c>
      <c r="C455" s="0" t="n">
        <v>31</v>
      </c>
      <c r="D455" s="4" t="s">
        <v>16</v>
      </c>
      <c r="E455" s="4" t="s">
        <v>14</v>
      </c>
      <c r="F455" s="0" t="n">
        <v>23</v>
      </c>
      <c r="G455" s="5" t="n">
        <v>145.07</v>
      </c>
      <c r="H455" s="6" t="n">
        <v>0</v>
      </c>
      <c r="I455" s="5" t="n">
        <f aca="false">F455*G455*(1-H455)</f>
        <v>3336.61</v>
      </c>
      <c r="J455" s="4" t="s">
        <v>18</v>
      </c>
      <c r="K455" s="5" t="n">
        <f aca="false">VLOOKUP(D455,Products!$A$2:$E$26,4,FALSE())</f>
        <v>72.1</v>
      </c>
      <c r="L455" s="6" t="n">
        <f aca="false">(I455-F455*K455)/I455</f>
        <v>0.502998552422968</v>
      </c>
    </row>
    <row r="456" customFormat="false" ht="15" hidden="false" customHeight="false" outlineLevel="0" collapsed="false">
      <c r="A456" s="0" t="n">
        <v>10452</v>
      </c>
      <c r="B456" s="3" t="n">
        <v>45426</v>
      </c>
      <c r="C456" s="0" t="n">
        <v>23</v>
      </c>
      <c r="D456" s="4" t="s">
        <v>46</v>
      </c>
      <c r="E456" s="4" t="s">
        <v>20</v>
      </c>
      <c r="F456" s="0" t="n">
        <v>24</v>
      </c>
      <c r="G456" s="5" t="n">
        <v>321.05</v>
      </c>
      <c r="H456" s="6" t="n">
        <v>0</v>
      </c>
      <c r="I456" s="5" t="n">
        <f aca="false">F456*G456*(1-H456)</f>
        <v>7705.2</v>
      </c>
      <c r="J456" s="4" t="s">
        <v>15</v>
      </c>
      <c r="K456" s="5" t="n">
        <f aca="false">VLOOKUP(D456,Products!$A$2:$E$26,4,FALSE())</f>
        <v>219.79</v>
      </c>
      <c r="L456" s="6" t="n">
        <f aca="false">(I456-F456*K456)/I456</f>
        <v>0.315402585267092</v>
      </c>
    </row>
    <row r="457" customFormat="false" ht="15" hidden="false" customHeight="false" outlineLevel="0" collapsed="false">
      <c r="A457" s="0" t="n">
        <v>10453</v>
      </c>
      <c r="B457" s="3" t="n">
        <v>45589</v>
      </c>
      <c r="C457" s="0" t="n">
        <v>10</v>
      </c>
      <c r="D457" s="4" t="s">
        <v>44</v>
      </c>
      <c r="E457" s="4" t="s">
        <v>21</v>
      </c>
      <c r="F457" s="0" t="n">
        <v>39</v>
      </c>
      <c r="G457" s="5" t="n">
        <v>32.01</v>
      </c>
      <c r="H457" s="6" t="n">
        <v>0</v>
      </c>
      <c r="I457" s="5" t="n">
        <f aca="false">F457*G457*(1-H457)</f>
        <v>1248.39</v>
      </c>
      <c r="J457" s="4" t="s">
        <v>15</v>
      </c>
      <c r="K457" s="5" t="n">
        <f aca="false">VLOOKUP(D457,Products!$A$2:$E$26,4,FALSE())</f>
        <v>18.41</v>
      </c>
      <c r="L457" s="6" t="n">
        <f aca="false">(I457-F457*K457)/I457</f>
        <v>0.42486722899094</v>
      </c>
    </row>
    <row r="458" customFormat="false" ht="15" hidden="false" customHeight="false" outlineLevel="0" collapsed="false">
      <c r="A458" s="0" t="n">
        <v>10454</v>
      </c>
      <c r="B458" s="3" t="n">
        <v>45428</v>
      </c>
      <c r="C458" s="0" t="n">
        <v>35</v>
      </c>
      <c r="D458" s="4" t="s">
        <v>31</v>
      </c>
      <c r="E458" s="4" t="s">
        <v>24</v>
      </c>
      <c r="F458" s="0" t="n">
        <v>7</v>
      </c>
      <c r="G458" s="5" t="n">
        <v>45.71</v>
      </c>
      <c r="H458" s="6" t="n">
        <v>0</v>
      </c>
      <c r="I458" s="5" t="n">
        <f aca="false">F458*G458*(1-H458)</f>
        <v>319.97</v>
      </c>
      <c r="J458" s="4" t="s">
        <v>15</v>
      </c>
      <c r="K458" s="5" t="n">
        <f aca="false">VLOOKUP(D458,Products!$A$2:$E$26,4,FALSE())</f>
        <v>23.25</v>
      </c>
      <c r="L458" s="6" t="n">
        <f aca="false">(I458-F458*K458)/I458</f>
        <v>0.491358564865456</v>
      </c>
    </row>
    <row r="459" customFormat="false" ht="15" hidden="false" customHeight="false" outlineLevel="0" collapsed="false">
      <c r="A459" s="0" t="n">
        <v>10455</v>
      </c>
      <c r="B459" s="3" t="n">
        <v>45353</v>
      </c>
      <c r="C459" s="0" t="n">
        <v>1</v>
      </c>
      <c r="D459" s="4" t="s">
        <v>22</v>
      </c>
      <c r="E459" s="4" t="s">
        <v>20</v>
      </c>
      <c r="F459" s="0" t="n">
        <v>5</v>
      </c>
      <c r="G459" s="5" t="n">
        <v>51.74</v>
      </c>
      <c r="H459" s="6" t="n">
        <v>0</v>
      </c>
      <c r="I459" s="5" t="n">
        <f aca="false">F459*G459*(1-H459)</f>
        <v>258.7</v>
      </c>
      <c r="J459" s="4" t="s">
        <v>18</v>
      </c>
      <c r="K459" s="5" t="n">
        <f aca="false">VLOOKUP(D459,Products!$A$2:$E$26,4,FALSE())</f>
        <v>26.06</v>
      </c>
      <c r="L459" s="6" t="n">
        <f aca="false">(I459-F459*K459)/I459</f>
        <v>0.496327792810205</v>
      </c>
    </row>
    <row r="460" customFormat="false" ht="15" hidden="false" customHeight="false" outlineLevel="0" collapsed="false">
      <c r="A460" s="0" t="n">
        <v>10456</v>
      </c>
      <c r="B460" s="3" t="n">
        <v>45546</v>
      </c>
      <c r="C460" s="0" t="n">
        <v>15</v>
      </c>
      <c r="D460" s="4" t="s">
        <v>16</v>
      </c>
      <c r="E460" s="4" t="s">
        <v>20</v>
      </c>
      <c r="F460" s="0" t="n">
        <v>29</v>
      </c>
      <c r="G460" s="5" t="n">
        <v>145.52</v>
      </c>
      <c r="H460" s="6" t="n">
        <v>0</v>
      </c>
      <c r="I460" s="5" t="n">
        <f aca="false">F460*G460*(1-H460)</f>
        <v>4220.08</v>
      </c>
      <c r="J460" s="4" t="s">
        <v>15</v>
      </c>
      <c r="K460" s="5" t="n">
        <f aca="false">VLOOKUP(D460,Products!$A$2:$E$26,4,FALSE())</f>
        <v>72.1</v>
      </c>
      <c r="L460" s="6" t="n">
        <f aca="false">(I460-F460*K460)/I460</f>
        <v>0.504535459043431</v>
      </c>
    </row>
    <row r="461" customFormat="false" ht="15" hidden="false" customHeight="false" outlineLevel="0" collapsed="false">
      <c r="A461" s="0" t="n">
        <v>10457</v>
      </c>
      <c r="B461" s="3" t="n">
        <v>45390</v>
      </c>
      <c r="C461" s="0" t="n">
        <v>32</v>
      </c>
      <c r="D461" s="4" t="s">
        <v>30</v>
      </c>
      <c r="E461" s="4" t="s">
        <v>24</v>
      </c>
      <c r="F461" s="0" t="n">
        <v>26</v>
      </c>
      <c r="G461" s="5" t="n">
        <v>212.39</v>
      </c>
      <c r="H461" s="6" t="n">
        <v>0.05</v>
      </c>
      <c r="I461" s="5" t="n">
        <f aca="false">F461*G461*(1-H461)</f>
        <v>5246.033</v>
      </c>
      <c r="J461" s="4" t="s">
        <v>18</v>
      </c>
      <c r="K461" s="5" t="n">
        <f aca="false">VLOOKUP(D461,Products!$A$2:$E$26,4,FALSE())</f>
        <v>97.8</v>
      </c>
      <c r="L461" s="6" t="n">
        <f aca="false">(I461-F461*K461)/I461</f>
        <v>0.515290887419122</v>
      </c>
    </row>
    <row r="462" customFormat="false" ht="15" hidden="false" customHeight="false" outlineLevel="0" collapsed="false">
      <c r="A462" s="0" t="n">
        <v>10458</v>
      </c>
      <c r="B462" s="3" t="n">
        <v>45622</v>
      </c>
      <c r="C462" s="0" t="n">
        <v>15</v>
      </c>
      <c r="D462" s="4" t="s">
        <v>32</v>
      </c>
      <c r="E462" s="4" t="s">
        <v>24</v>
      </c>
      <c r="F462" s="0" t="n">
        <v>33</v>
      </c>
      <c r="G462" s="5" t="n">
        <v>360.58</v>
      </c>
      <c r="H462" s="6" t="n">
        <v>0</v>
      </c>
      <c r="I462" s="5" t="n">
        <f aca="false">F462*G462*(1-H462)</f>
        <v>11899.14</v>
      </c>
      <c r="J462" s="4" t="s">
        <v>18</v>
      </c>
      <c r="K462" s="5" t="n">
        <f aca="false">VLOOKUP(D462,Products!$A$2:$E$26,4,FALSE())</f>
        <v>144.3</v>
      </c>
      <c r="L462" s="6" t="n">
        <f aca="false">(I462-F462*K462)/I462</f>
        <v>0.599811414942592</v>
      </c>
    </row>
    <row r="463" customFormat="false" ht="15" hidden="false" customHeight="false" outlineLevel="0" collapsed="false">
      <c r="A463" s="0" t="n">
        <v>10459</v>
      </c>
      <c r="B463" s="3" t="n">
        <v>45427</v>
      </c>
      <c r="C463" s="0" t="n">
        <v>65</v>
      </c>
      <c r="D463" s="4" t="s">
        <v>36</v>
      </c>
      <c r="E463" s="4" t="s">
        <v>24</v>
      </c>
      <c r="F463" s="0" t="n">
        <v>26</v>
      </c>
      <c r="G463" s="5" t="n">
        <v>49.47</v>
      </c>
      <c r="H463" s="6" t="n">
        <v>0</v>
      </c>
      <c r="I463" s="5" t="n">
        <f aca="false">F463*G463*(1-H463)</f>
        <v>1286.22</v>
      </c>
      <c r="J463" s="4" t="s">
        <v>15</v>
      </c>
      <c r="K463" s="5" t="n">
        <f aca="false">VLOOKUP(D463,Products!$A$2:$E$26,4,FALSE())</f>
        <v>23.74</v>
      </c>
      <c r="L463" s="6" t="n">
        <f aca="false">(I463-F463*K463)/I463</f>
        <v>0.520113199919143</v>
      </c>
    </row>
    <row r="464" customFormat="false" ht="15" hidden="false" customHeight="false" outlineLevel="0" collapsed="false">
      <c r="A464" s="0" t="n">
        <v>10460</v>
      </c>
      <c r="B464" s="3" t="n">
        <v>45560</v>
      </c>
      <c r="C464" s="0" t="n">
        <v>39</v>
      </c>
      <c r="D464" s="4" t="s">
        <v>42</v>
      </c>
      <c r="E464" s="4" t="s">
        <v>24</v>
      </c>
      <c r="F464" s="0" t="n">
        <v>26</v>
      </c>
      <c r="G464" s="5" t="n">
        <v>78.61</v>
      </c>
      <c r="H464" s="6" t="n">
        <v>0</v>
      </c>
      <c r="I464" s="5" t="n">
        <f aca="false">F464*G464*(1-H464)</f>
        <v>2043.86</v>
      </c>
      <c r="J464" s="4" t="s">
        <v>15</v>
      </c>
      <c r="K464" s="5" t="n">
        <f aca="false">VLOOKUP(D464,Products!$A$2:$E$26,4,FALSE())</f>
        <v>47.32</v>
      </c>
      <c r="L464" s="6" t="n">
        <f aca="false">(I464-F464*K464)/I464</f>
        <v>0.398040961709706</v>
      </c>
    </row>
    <row r="465" customFormat="false" ht="15" hidden="false" customHeight="false" outlineLevel="0" collapsed="false">
      <c r="A465" s="0" t="n">
        <v>10461</v>
      </c>
      <c r="B465" s="3" t="n">
        <v>45627</v>
      </c>
      <c r="C465" s="0" t="n">
        <v>4</v>
      </c>
      <c r="D465" s="4" t="s">
        <v>45</v>
      </c>
      <c r="E465" s="4" t="s">
        <v>24</v>
      </c>
      <c r="F465" s="0" t="n">
        <v>1</v>
      </c>
      <c r="G465" s="5" t="n">
        <v>99.26</v>
      </c>
      <c r="H465" s="6" t="n">
        <v>0.15</v>
      </c>
      <c r="I465" s="5" t="n">
        <f aca="false">F465*G465*(1-H465)</f>
        <v>84.371</v>
      </c>
      <c r="J465" s="4" t="s">
        <v>15</v>
      </c>
      <c r="K465" s="5" t="n">
        <f aca="false">VLOOKUP(D465,Products!$A$2:$E$26,4,FALSE())</f>
        <v>41.2</v>
      </c>
      <c r="L465" s="6" t="n">
        <f aca="false">(I465-F465*K465)/I465</f>
        <v>0.51168055374477</v>
      </c>
    </row>
    <row r="466" customFormat="false" ht="15" hidden="false" customHeight="false" outlineLevel="0" collapsed="false">
      <c r="A466" s="0" t="n">
        <v>10462</v>
      </c>
      <c r="B466" s="3" t="n">
        <v>45337</v>
      </c>
      <c r="C466" s="0" t="n">
        <v>20</v>
      </c>
      <c r="D466" s="4" t="s">
        <v>32</v>
      </c>
      <c r="E466" s="4" t="s">
        <v>21</v>
      </c>
      <c r="F466" s="0" t="n">
        <v>6</v>
      </c>
      <c r="G466" s="5" t="n">
        <v>373.87</v>
      </c>
      <c r="H466" s="6" t="n">
        <v>0.05</v>
      </c>
      <c r="I466" s="5" t="n">
        <f aca="false">F466*G466*(1-H466)</f>
        <v>2131.059</v>
      </c>
      <c r="J466" s="4" t="s">
        <v>28</v>
      </c>
      <c r="K466" s="5" t="n">
        <f aca="false">VLOOKUP(D466,Products!$A$2:$E$26,4,FALSE())</f>
        <v>144.3</v>
      </c>
      <c r="L466" s="6" t="n">
        <f aca="false">(I466-F466*K466)/I466</f>
        <v>0.593723120758271</v>
      </c>
    </row>
    <row r="467" customFormat="false" ht="15" hidden="false" customHeight="false" outlineLevel="0" collapsed="false">
      <c r="A467" s="0" t="n">
        <v>10463</v>
      </c>
      <c r="B467" s="3" t="n">
        <v>45581</v>
      </c>
      <c r="C467" s="0" t="n">
        <v>28</v>
      </c>
      <c r="D467" s="4" t="s">
        <v>29</v>
      </c>
      <c r="E467" s="4" t="s">
        <v>20</v>
      </c>
      <c r="F467" s="0" t="n">
        <v>18</v>
      </c>
      <c r="G467" s="5" t="n">
        <v>76.57</v>
      </c>
      <c r="H467" s="6" t="n">
        <v>0.05</v>
      </c>
      <c r="I467" s="5" t="n">
        <f aca="false">F467*G467*(1-H467)</f>
        <v>1309.347</v>
      </c>
      <c r="J467" s="4" t="s">
        <v>15</v>
      </c>
      <c r="K467" s="5" t="n">
        <f aca="false">VLOOKUP(D467,Products!$A$2:$E$26,4,FALSE())</f>
        <v>38.68</v>
      </c>
      <c r="L467" s="6" t="n">
        <f aca="false">(I467-F467*K467)/I467</f>
        <v>0.468254022806788</v>
      </c>
    </row>
    <row r="468" customFormat="false" ht="15" hidden="false" customHeight="false" outlineLevel="0" collapsed="false">
      <c r="A468" s="0" t="n">
        <v>10464</v>
      </c>
      <c r="B468" s="3" t="n">
        <v>45431</v>
      </c>
      <c r="C468" s="0" t="n">
        <v>6</v>
      </c>
      <c r="D468" s="4" t="s">
        <v>27</v>
      </c>
      <c r="E468" s="4" t="s">
        <v>14</v>
      </c>
      <c r="F468" s="0" t="n">
        <v>4</v>
      </c>
      <c r="G468" s="5" t="n">
        <v>120.36</v>
      </c>
      <c r="H468" s="6" t="n">
        <v>0.1</v>
      </c>
      <c r="I468" s="5" t="n">
        <f aca="false">F468*G468*(1-H468)</f>
        <v>433.296</v>
      </c>
      <c r="J468" s="4" t="s">
        <v>15</v>
      </c>
      <c r="K468" s="5" t="n">
        <f aca="false">VLOOKUP(D468,Products!$A$2:$E$26,4,FALSE())</f>
        <v>45.07</v>
      </c>
      <c r="L468" s="6" t="n">
        <f aca="false">(I468-F468*K468)/I468</f>
        <v>0.583933385030095</v>
      </c>
    </row>
    <row r="469" customFormat="false" ht="15" hidden="false" customHeight="false" outlineLevel="0" collapsed="false">
      <c r="A469" s="0" t="n">
        <v>10465</v>
      </c>
      <c r="B469" s="3" t="n">
        <v>45355</v>
      </c>
      <c r="C469" s="0" t="n">
        <v>7</v>
      </c>
      <c r="D469" s="4" t="s">
        <v>29</v>
      </c>
      <c r="E469" s="4" t="s">
        <v>14</v>
      </c>
      <c r="F469" s="0" t="n">
        <v>17</v>
      </c>
      <c r="G469" s="5" t="n">
        <v>76.85</v>
      </c>
      <c r="H469" s="6" t="n">
        <v>0</v>
      </c>
      <c r="I469" s="5" t="n">
        <f aca="false">F469*G469*(1-H469)</f>
        <v>1306.45</v>
      </c>
      <c r="J469" s="4" t="s">
        <v>18</v>
      </c>
      <c r="K469" s="5" t="n">
        <f aca="false">VLOOKUP(D469,Products!$A$2:$E$26,4,FALSE())</f>
        <v>38.68</v>
      </c>
      <c r="L469" s="6" t="n">
        <f aca="false">(I469-F469*K469)/I469</f>
        <v>0.496681847755368</v>
      </c>
    </row>
    <row r="470" customFormat="false" ht="15" hidden="false" customHeight="false" outlineLevel="0" collapsed="false">
      <c r="A470" s="0" t="n">
        <v>10466</v>
      </c>
      <c r="B470" s="3" t="n">
        <v>45315</v>
      </c>
      <c r="C470" s="0" t="n">
        <v>7</v>
      </c>
      <c r="D470" s="4" t="s">
        <v>46</v>
      </c>
      <c r="E470" s="4" t="s">
        <v>21</v>
      </c>
      <c r="F470" s="0" t="n">
        <v>1</v>
      </c>
      <c r="G470" s="5" t="n">
        <v>320.75</v>
      </c>
      <c r="H470" s="6" t="n">
        <v>0</v>
      </c>
      <c r="I470" s="5" t="n">
        <f aca="false">F470*G470*(1-H470)</f>
        <v>320.75</v>
      </c>
      <c r="J470" s="4" t="s">
        <v>18</v>
      </c>
      <c r="K470" s="5" t="n">
        <f aca="false">VLOOKUP(D470,Products!$A$2:$E$26,4,FALSE())</f>
        <v>219.79</v>
      </c>
      <c r="L470" s="6" t="n">
        <f aca="false">(I470-F470*K470)/I470</f>
        <v>0.314762275915822</v>
      </c>
    </row>
    <row r="471" customFormat="false" ht="15" hidden="false" customHeight="false" outlineLevel="0" collapsed="false">
      <c r="A471" s="0" t="n">
        <v>10467</v>
      </c>
      <c r="B471" s="3" t="n">
        <v>45452</v>
      </c>
      <c r="C471" s="0" t="n">
        <v>72</v>
      </c>
      <c r="D471" s="4" t="s">
        <v>44</v>
      </c>
      <c r="E471" s="4" t="s">
        <v>24</v>
      </c>
      <c r="F471" s="0" t="n">
        <v>31</v>
      </c>
      <c r="G471" s="5" t="n">
        <v>31.03</v>
      </c>
      <c r="H471" s="6" t="n">
        <v>0.05</v>
      </c>
      <c r="I471" s="5" t="n">
        <f aca="false">F471*G471*(1-H471)</f>
        <v>913.8335</v>
      </c>
      <c r="J471" s="4" t="s">
        <v>15</v>
      </c>
      <c r="K471" s="5" t="n">
        <f aca="false">VLOOKUP(D471,Products!$A$2:$E$26,4,FALSE())</f>
        <v>18.41</v>
      </c>
      <c r="L471" s="6" t="n">
        <f aca="false">(I471-F471*K471)/I471</f>
        <v>0.375477042590362</v>
      </c>
    </row>
    <row r="472" customFormat="false" ht="15" hidden="false" customHeight="false" outlineLevel="0" collapsed="false">
      <c r="A472" s="0" t="n">
        <v>10468</v>
      </c>
      <c r="B472" s="3" t="n">
        <v>45401</v>
      </c>
      <c r="C472" s="0" t="n">
        <v>50</v>
      </c>
      <c r="D472" s="4" t="s">
        <v>35</v>
      </c>
      <c r="E472" s="4" t="s">
        <v>21</v>
      </c>
      <c r="F472" s="0" t="n">
        <v>39</v>
      </c>
      <c r="G472" s="5" t="n">
        <v>390.02</v>
      </c>
      <c r="H472" s="6" t="n">
        <v>0.1</v>
      </c>
      <c r="I472" s="5" t="n">
        <f aca="false">F472*G472*(1-H472)</f>
        <v>13689.702</v>
      </c>
      <c r="J472" s="4" t="s">
        <v>15</v>
      </c>
      <c r="K472" s="5" t="n">
        <f aca="false">VLOOKUP(D472,Products!$A$2:$E$26,4,FALSE())</f>
        <v>244.6</v>
      </c>
      <c r="L472" s="6" t="n">
        <f aca="false">(I472-F472*K472)/I472</f>
        <v>0.303169638024261</v>
      </c>
    </row>
    <row r="473" customFormat="false" ht="15" hidden="false" customHeight="false" outlineLevel="0" collapsed="false">
      <c r="A473" s="0" t="n">
        <v>10469</v>
      </c>
      <c r="B473" s="3" t="n">
        <v>45648</v>
      </c>
      <c r="C473" s="0" t="n">
        <v>4</v>
      </c>
      <c r="D473" s="4" t="s">
        <v>29</v>
      </c>
      <c r="E473" s="4" t="s">
        <v>21</v>
      </c>
      <c r="F473" s="0" t="n">
        <v>19</v>
      </c>
      <c r="G473" s="5" t="n">
        <v>76.86</v>
      </c>
      <c r="H473" s="6" t="n">
        <v>0</v>
      </c>
      <c r="I473" s="5" t="n">
        <f aca="false">F473*G473*(1-H473)</f>
        <v>1460.34</v>
      </c>
      <c r="J473" s="4" t="s">
        <v>15</v>
      </c>
      <c r="K473" s="5" t="n">
        <f aca="false">VLOOKUP(D473,Products!$A$2:$E$26,4,FALSE())</f>
        <v>38.68</v>
      </c>
      <c r="L473" s="6" t="n">
        <f aca="false">(I473-F473*K473)/I473</f>
        <v>0.496747332812907</v>
      </c>
    </row>
    <row r="474" customFormat="false" ht="15" hidden="false" customHeight="false" outlineLevel="0" collapsed="false">
      <c r="A474" s="0" t="n">
        <v>10470</v>
      </c>
      <c r="B474" s="3" t="n">
        <v>45554</v>
      </c>
      <c r="C474" s="0" t="n">
        <v>79</v>
      </c>
      <c r="D474" s="4" t="s">
        <v>45</v>
      </c>
      <c r="E474" s="4" t="s">
        <v>24</v>
      </c>
      <c r="F474" s="0" t="n">
        <v>37</v>
      </c>
      <c r="G474" s="5" t="n">
        <v>95.41</v>
      </c>
      <c r="H474" s="6" t="n">
        <v>0.05</v>
      </c>
      <c r="I474" s="5" t="n">
        <f aca="false">F474*G474*(1-H474)</f>
        <v>3353.6615</v>
      </c>
      <c r="J474" s="4" t="s">
        <v>18</v>
      </c>
      <c r="K474" s="5" t="n">
        <f aca="false">VLOOKUP(D474,Products!$A$2:$E$26,4,FALSE())</f>
        <v>41.2</v>
      </c>
      <c r="L474" s="6" t="n">
        <f aca="false">(I474-F474*K474)/I474</f>
        <v>0.545452038018745</v>
      </c>
    </row>
    <row r="475" customFormat="false" ht="15" hidden="false" customHeight="false" outlineLevel="0" collapsed="false">
      <c r="A475" s="0" t="n">
        <v>10471</v>
      </c>
      <c r="B475" s="3" t="n">
        <v>45497</v>
      </c>
      <c r="C475" s="0" t="n">
        <v>35</v>
      </c>
      <c r="D475" s="4" t="s">
        <v>37</v>
      </c>
      <c r="E475" s="4" t="s">
        <v>21</v>
      </c>
      <c r="F475" s="0" t="n">
        <v>8</v>
      </c>
      <c r="G475" s="5" t="n">
        <v>7.82</v>
      </c>
      <c r="H475" s="6" t="n">
        <v>0.15</v>
      </c>
      <c r="I475" s="5" t="n">
        <f aca="false">F475*G475*(1-H475)</f>
        <v>53.176</v>
      </c>
      <c r="J475" s="4" t="s">
        <v>28</v>
      </c>
      <c r="K475" s="5" t="n">
        <f aca="false">VLOOKUP(D475,Products!$A$2:$E$26,4,FALSE())</f>
        <v>3.88</v>
      </c>
      <c r="L475" s="6" t="n">
        <f aca="false">(I475-F475*K475)/I475</f>
        <v>0.41627802015947</v>
      </c>
    </row>
    <row r="476" customFormat="false" ht="15" hidden="false" customHeight="false" outlineLevel="0" collapsed="false">
      <c r="A476" s="0" t="n">
        <v>10472</v>
      </c>
      <c r="B476" s="3" t="n">
        <v>45466</v>
      </c>
      <c r="C476" s="0" t="n">
        <v>64</v>
      </c>
      <c r="D476" s="4" t="s">
        <v>17</v>
      </c>
      <c r="E476" s="4" t="s">
        <v>21</v>
      </c>
      <c r="F476" s="0" t="n">
        <v>20</v>
      </c>
      <c r="G476" s="5" t="n">
        <v>92.05</v>
      </c>
      <c r="H476" s="6" t="n">
        <v>0.05</v>
      </c>
      <c r="I476" s="5" t="n">
        <f aca="false">F476*G476*(1-H476)</f>
        <v>1748.95</v>
      </c>
      <c r="J476" s="4" t="s">
        <v>18</v>
      </c>
      <c r="K476" s="5" t="n">
        <f aca="false">VLOOKUP(D476,Products!$A$2:$E$26,4,FALSE())</f>
        <v>38.24</v>
      </c>
      <c r="L476" s="6" t="n">
        <f aca="false">(I476-F476*K476)/I476</f>
        <v>0.562709054003831</v>
      </c>
    </row>
    <row r="477" customFormat="false" ht="15" hidden="false" customHeight="false" outlineLevel="0" collapsed="false">
      <c r="A477" s="0" t="n">
        <v>10473</v>
      </c>
      <c r="B477" s="3" t="n">
        <v>45444</v>
      </c>
      <c r="C477" s="0" t="n">
        <v>76</v>
      </c>
      <c r="D477" s="4" t="s">
        <v>34</v>
      </c>
      <c r="E477" s="4" t="s">
        <v>14</v>
      </c>
      <c r="F477" s="0" t="n">
        <v>23</v>
      </c>
      <c r="G477" s="5" t="n">
        <v>21.1</v>
      </c>
      <c r="H477" s="6" t="n">
        <v>0.1</v>
      </c>
      <c r="I477" s="5" t="n">
        <f aca="false">F477*G477*(1-H477)</f>
        <v>436.77</v>
      </c>
      <c r="J477" s="4" t="s">
        <v>28</v>
      </c>
      <c r="K477" s="5" t="n">
        <f aca="false">VLOOKUP(D477,Products!$A$2:$E$26,4,FALSE())</f>
        <v>14.34</v>
      </c>
      <c r="L477" s="6" t="n">
        <f aca="false">(I477-F477*K477)/I477</f>
        <v>0.244865718799368</v>
      </c>
    </row>
    <row r="478" customFormat="false" ht="15" hidden="false" customHeight="false" outlineLevel="0" collapsed="false">
      <c r="A478" s="0" t="n">
        <v>10474</v>
      </c>
      <c r="B478" s="3" t="n">
        <v>45512</v>
      </c>
      <c r="C478" s="0" t="n">
        <v>56</v>
      </c>
      <c r="D478" s="4" t="s">
        <v>34</v>
      </c>
      <c r="E478" s="4" t="s">
        <v>24</v>
      </c>
      <c r="F478" s="0" t="n">
        <v>37</v>
      </c>
      <c r="G478" s="5" t="n">
        <v>20.88</v>
      </c>
      <c r="H478" s="6" t="n">
        <v>0</v>
      </c>
      <c r="I478" s="5" t="n">
        <f aca="false">F478*G478*(1-H478)</f>
        <v>772.56</v>
      </c>
      <c r="J478" s="4" t="s">
        <v>15</v>
      </c>
      <c r="K478" s="5" t="n">
        <f aca="false">VLOOKUP(D478,Products!$A$2:$E$26,4,FALSE())</f>
        <v>14.34</v>
      </c>
      <c r="L478" s="6" t="n">
        <f aca="false">(I478-F478*K478)/I478</f>
        <v>0.313218390804598</v>
      </c>
    </row>
    <row r="479" customFormat="false" ht="15" hidden="false" customHeight="false" outlineLevel="0" collapsed="false">
      <c r="A479" s="0" t="n">
        <v>10475</v>
      </c>
      <c r="B479" s="3" t="n">
        <v>45457</v>
      </c>
      <c r="C479" s="0" t="n">
        <v>77</v>
      </c>
      <c r="D479" s="4" t="s">
        <v>46</v>
      </c>
      <c r="E479" s="4" t="s">
        <v>24</v>
      </c>
      <c r="F479" s="0" t="n">
        <v>29</v>
      </c>
      <c r="G479" s="5" t="n">
        <v>309.96</v>
      </c>
      <c r="H479" s="6" t="n">
        <v>0</v>
      </c>
      <c r="I479" s="5" t="n">
        <f aca="false">F479*G479*(1-H479)</f>
        <v>8988.84</v>
      </c>
      <c r="J479" s="4" t="s">
        <v>28</v>
      </c>
      <c r="K479" s="5" t="n">
        <f aca="false">VLOOKUP(D479,Products!$A$2:$E$26,4,FALSE())</f>
        <v>219.79</v>
      </c>
      <c r="L479" s="6" t="n">
        <f aca="false">(I479-F479*K479)/I479</f>
        <v>0.290908504323139</v>
      </c>
    </row>
    <row r="480" customFormat="false" ht="15" hidden="false" customHeight="false" outlineLevel="0" collapsed="false">
      <c r="A480" s="0" t="n">
        <v>10476</v>
      </c>
      <c r="B480" s="3" t="n">
        <v>45510</v>
      </c>
      <c r="C480" s="0" t="n">
        <v>56</v>
      </c>
      <c r="D480" s="4" t="s">
        <v>43</v>
      </c>
      <c r="E480" s="4" t="s">
        <v>21</v>
      </c>
      <c r="F480" s="0" t="n">
        <v>15</v>
      </c>
      <c r="G480" s="5" t="n">
        <v>221.11</v>
      </c>
      <c r="H480" s="6" t="n">
        <v>0.1</v>
      </c>
      <c r="I480" s="5" t="n">
        <f aca="false">F480*G480*(1-H480)</f>
        <v>2984.985</v>
      </c>
      <c r="J480" s="4" t="s">
        <v>15</v>
      </c>
      <c r="K480" s="5" t="n">
        <f aca="false">VLOOKUP(D480,Products!$A$2:$E$26,4,FALSE())</f>
        <v>126.91</v>
      </c>
      <c r="L480" s="6" t="n">
        <f aca="false">(I480-F480*K480)/I480</f>
        <v>0.362258101799507</v>
      </c>
    </row>
    <row r="481" customFormat="false" ht="15" hidden="false" customHeight="false" outlineLevel="0" collapsed="false">
      <c r="A481" s="0" t="n">
        <v>10477</v>
      </c>
      <c r="B481" s="3" t="n">
        <v>45392</v>
      </c>
      <c r="C481" s="0" t="n">
        <v>75</v>
      </c>
      <c r="D481" s="4" t="s">
        <v>46</v>
      </c>
      <c r="E481" s="4" t="s">
        <v>24</v>
      </c>
      <c r="F481" s="0" t="n">
        <v>35</v>
      </c>
      <c r="G481" s="5" t="n">
        <v>320.44</v>
      </c>
      <c r="H481" s="6" t="n">
        <v>0.15</v>
      </c>
      <c r="I481" s="5" t="n">
        <f aca="false">F481*G481*(1-H481)</f>
        <v>9533.09</v>
      </c>
      <c r="J481" s="4" t="s">
        <v>18</v>
      </c>
      <c r="K481" s="5" t="n">
        <f aca="false">VLOOKUP(D481,Products!$A$2:$E$26,4,FALSE())</f>
        <v>219.79</v>
      </c>
      <c r="L481" s="6" t="n">
        <f aca="false">(I481-F481*K481)/I481</f>
        <v>0.193058074559246</v>
      </c>
    </row>
    <row r="482" customFormat="false" ht="15" hidden="false" customHeight="false" outlineLevel="0" collapsed="false">
      <c r="A482" s="0" t="n">
        <v>10478</v>
      </c>
      <c r="B482" s="3" t="n">
        <v>45446</v>
      </c>
      <c r="C482" s="0" t="n">
        <v>12</v>
      </c>
      <c r="D482" s="4" t="s">
        <v>23</v>
      </c>
      <c r="E482" s="4" t="s">
        <v>14</v>
      </c>
      <c r="F482" s="0" t="n">
        <v>10</v>
      </c>
      <c r="G482" s="5" t="n">
        <v>126.48</v>
      </c>
      <c r="H482" s="6" t="n">
        <v>0</v>
      </c>
      <c r="I482" s="5" t="n">
        <f aca="false">F482*G482*(1-H482)</f>
        <v>1264.8</v>
      </c>
      <c r="J482" s="4" t="s">
        <v>15</v>
      </c>
      <c r="K482" s="5" t="n">
        <f aca="false">VLOOKUP(D482,Products!$A$2:$E$26,4,FALSE())</f>
        <v>75.38</v>
      </c>
      <c r="L482" s="6" t="n">
        <f aca="false">(I482-F482*K482)/I482</f>
        <v>0.404016445287793</v>
      </c>
    </row>
    <row r="483" customFormat="false" ht="15" hidden="false" customHeight="false" outlineLevel="0" collapsed="false">
      <c r="A483" s="0" t="n">
        <v>10479</v>
      </c>
      <c r="B483" s="3" t="n">
        <v>45383</v>
      </c>
      <c r="C483" s="0" t="n">
        <v>3</v>
      </c>
      <c r="D483" s="4" t="s">
        <v>19</v>
      </c>
      <c r="E483" s="4" t="s">
        <v>14</v>
      </c>
      <c r="F483" s="0" t="n">
        <v>34</v>
      </c>
      <c r="G483" s="5" t="n">
        <v>203.32</v>
      </c>
      <c r="H483" s="6" t="n">
        <v>0</v>
      </c>
      <c r="I483" s="5" t="n">
        <f aca="false">F483*G483*(1-H483)</f>
        <v>6912.88</v>
      </c>
      <c r="J483" s="4" t="s">
        <v>18</v>
      </c>
      <c r="K483" s="5" t="n">
        <f aca="false">VLOOKUP(D483,Products!$A$2:$E$26,4,FALSE())</f>
        <v>83.93</v>
      </c>
      <c r="L483" s="6" t="n">
        <f aca="false">(I483-F483*K483)/I483</f>
        <v>0.58720243950423</v>
      </c>
    </row>
    <row r="484" customFormat="false" ht="15" hidden="false" customHeight="false" outlineLevel="0" collapsed="false">
      <c r="A484" s="0" t="n">
        <v>10480</v>
      </c>
      <c r="B484" s="3" t="n">
        <v>45594</v>
      </c>
      <c r="C484" s="0" t="n">
        <v>59</v>
      </c>
      <c r="D484" s="4" t="s">
        <v>33</v>
      </c>
      <c r="E484" s="4" t="s">
        <v>14</v>
      </c>
      <c r="F484" s="0" t="n">
        <v>37</v>
      </c>
      <c r="G484" s="5" t="n">
        <v>43.35</v>
      </c>
      <c r="H484" s="6" t="n">
        <v>0</v>
      </c>
      <c r="I484" s="5" t="n">
        <f aca="false">F484*G484*(1-H484)</f>
        <v>1603.95</v>
      </c>
      <c r="J484" s="4" t="s">
        <v>15</v>
      </c>
      <c r="K484" s="5" t="n">
        <f aca="false">VLOOKUP(D484,Products!$A$2:$E$26,4,FALSE())</f>
        <v>28.4</v>
      </c>
      <c r="L484" s="6" t="n">
        <f aca="false">(I484-F484*K484)/I484</f>
        <v>0.344867358708189</v>
      </c>
    </row>
    <row r="485" customFormat="false" ht="15" hidden="false" customHeight="false" outlineLevel="0" collapsed="false">
      <c r="A485" s="0" t="n">
        <v>10481</v>
      </c>
      <c r="B485" s="3" t="n">
        <v>45435</v>
      </c>
      <c r="C485" s="0" t="n">
        <v>68</v>
      </c>
      <c r="D485" s="4" t="s">
        <v>25</v>
      </c>
      <c r="E485" s="4" t="s">
        <v>14</v>
      </c>
      <c r="F485" s="0" t="n">
        <v>16</v>
      </c>
      <c r="G485" s="5" t="n">
        <v>222.6</v>
      </c>
      <c r="H485" s="6" t="n">
        <v>0</v>
      </c>
      <c r="I485" s="5" t="n">
        <f aca="false">F485*G485*(1-H485)</f>
        <v>3561.6</v>
      </c>
      <c r="J485" s="4" t="s">
        <v>18</v>
      </c>
      <c r="K485" s="5" t="n">
        <f aca="false">VLOOKUP(D485,Products!$A$2:$E$26,4,FALSE())</f>
        <v>128.85</v>
      </c>
      <c r="L485" s="6" t="n">
        <f aca="false">(I485-F485*K485)/I485</f>
        <v>0.421159029649596</v>
      </c>
    </row>
    <row r="486" customFormat="false" ht="15" hidden="false" customHeight="false" outlineLevel="0" collapsed="false">
      <c r="A486" s="0" t="n">
        <v>10482</v>
      </c>
      <c r="B486" s="3" t="n">
        <v>45477</v>
      </c>
      <c r="C486" s="0" t="n">
        <v>59</v>
      </c>
      <c r="D486" s="4" t="s">
        <v>36</v>
      </c>
      <c r="E486" s="4" t="s">
        <v>21</v>
      </c>
      <c r="F486" s="0" t="n">
        <v>30</v>
      </c>
      <c r="G486" s="5" t="n">
        <v>52.94</v>
      </c>
      <c r="H486" s="6" t="n">
        <v>0.05</v>
      </c>
      <c r="I486" s="5" t="n">
        <f aca="false">F486*G486*(1-H486)</f>
        <v>1508.79</v>
      </c>
      <c r="J486" s="4" t="s">
        <v>15</v>
      </c>
      <c r="K486" s="5" t="n">
        <f aca="false">VLOOKUP(D486,Products!$A$2:$E$26,4,FALSE())</f>
        <v>23.74</v>
      </c>
      <c r="L486" s="6" t="n">
        <f aca="false">(I486-F486*K486)/I486</f>
        <v>0.527966118545324</v>
      </c>
    </row>
    <row r="487" customFormat="false" ht="15" hidden="false" customHeight="false" outlineLevel="0" collapsed="false">
      <c r="A487" s="0" t="n">
        <v>10483</v>
      </c>
      <c r="B487" s="3" t="n">
        <v>45433</v>
      </c>
      <c r="C487" s="0" t="n">
        <v>62</v>
      </c>
      <c r="D487" s="4" t="s">
        <v>17</v>
      </c>
      <c r="E487" s="4" t="s">
        <v>20</v>
      </c>
      <c r="F487" s="0" t="n">
        <v>40</v>
      </c>
      <c r="G487" s="5" t="n">
        <v>83.89</v>
      </c>
      <c r="H487" s="6" t="n">
        <v>0.15</v>
      </c>
      <c r="I487" s="5" t="n">
        <f aca="false">F487*G487*(1-H487)</f>
        <v>2852.26</v>
      </c>
      <c r="J487" s="4" t="s">
        <v>28</v>
      </c>
      <c r="K487" s="5" t="n">
        <f aca="false">VLOOKUP(D487,Products!$A$2:$E$26,4,FALSE())</f>
        <v>38.24</v>
      </c>
      <c r="L487" s="6" t="n">
        <f aca="false">(I487-F487*K487)/I487</f>
        <v>0.463723503467426</v>
      </c>
    </row>
    <row r="488" customFormat="false" ht="15" hidden="false" customHeight="false" outlineLevel="0" collapsed="false">
      <c r="A488" s="0" t="n">
        <v>10484</v>
      </c>
      <c r="B488" s="3" t="n">
        <v>45350</v>
      </c>
      <c r="C488" s="0" t="n">
        <v>7</v>
      </c>
      <c r="D488" s="4" t="s">
        <v>41</v>
      </c>
      <c r="E488" s="4" t="s">
        <v>21</v>
      </c>
      <c r="F488" s="0" t="n">
        <v>28</v>
      </c>
      <c r="G488" s="5" t="n">
        <v>26.59</v>
      </c>
      <c r="H488" s="6" t="n">
        <v>0</v>
      </c>
      <c r="I488" s="5" t="n">
        <f aca="false">F488*G488*(1-H488)</f>
        <v>744.52</v>
      </c>
      <c r="J488" s="4" t="s">
        <v>15</v>
      </c>
      <c r="K488" s="5" t="n">
        <f aca="false">VLOOKUP(D488,Products!$A$2:$E$26,4,FALSE())</f>
        <v>12.46</v>
      </c>
      <c r="L488" s="6" t="n">
        <f aca="false">(I488-F488*K488)/I488</f>
        <v>0.531402783001128</v>
      </c>
    </row>
    <row r="489" customFormat="false" ht="15" hidden="false" customHeight="false" outlineLevel="0" collapsed="false">
      <c r="A489" s="0" t="n">
        <v>10485</v>
      </c>
      <c r="B489" s="3" t="n">
        <v>45462</v>
      </c>
      <c r="C489" s="0" t="n">
        <v>52</v>
      </c>
      <c r="D489" s="4" t="s">
        <v>26</v>
      </c>
      <c r="E489" s="4" t="s">
        <v>20</v>
      </c>
      <c r="F489" s="0" t="n">
        <v>24</v>
      </c>
      <c r="G489" s="5" t="n">
        <v>54.42</v>
      </c>
      <c r="H489" s="6" t="n">
        <v>0</v>
      </c>
      <c r="I489" s="5" t="n">
        <f aca="false">F489*G489*(1-H489)</f>
        <v>1306.08</v>
      </c>
      <c r="J489" s="4" t="s">
        <v>18</v>
      </c>
      <c r="K489" s="5" t="n">
        <f aca="false">VLOOKUP(D489,Products!$A$2:$E$26,4,FALSE())</f>
        <v>22.68</v>
      </c>
      <c r="L489" s="6" t="n">
        <f aca="false">(I489-F489*K489)/I489</f>
        <v>0.583241455347299</v>
      </c>
    </row>
    <row r="490" customFormat="false" ht="15" hidden="false" customHeight="false" outlineLevel="0" collapsed="false">
      <c r="A490" s="0" t="n">
        <v>10486</v>
      </c>
      <c r="B490" s="3" t="n">
        <v>45442</v>
      </c>
      <c r="C490" s="0" t="n">
        <v>70</v>
      </c>
      <c r="D490" s="4" t="s">
        <v>19</v>
      </c>
      <c r="E490" s="4" t="s">
        <v>21</v>
      </c>
      <c r="F490" s="0" t="n">
        <v>15</v>
      </c>
      <c r="G490" s="5" t="n">
        <v>218.94</v>
      </c>
      <c r="H490" s="6" t="n">
        <v>0</v>
      </c>
      <c r="I490" s="5" t="n">
        <f aca="false">F490*G490*(1-H490)</f>
        <v>3284.1</v>
      </c>
      <c r="J490" s="4" t="s">
        <v>15</v>
      </c>
      <c r="K490" s="5" t="n">
        <f aca="false">VLOOKUP(D490,Products!$A$2:$E$26,4,FALSE())</f>
        <v>83.93</v>
      </c>
      <c r="L490" s="6" t="n">
        <f aca="false">(I490-F490*K490)/I490</f>
        <v>0.616652964282452</v>
      </c>
    </row>
    <row r="491" customFormat="false" ht="15" hidden="false" customHeight="false" outlineLevel="0" collapsed="false">
      <c r="A491" s="0" t="n">
        <v>10487</v>
      </c>
      <c r="B491" s="3" t="n">
        <v>45619</v>
      </c>
      <c r="C491" s="0" t="n">
        <v>20</v>
      </c>
      <c r="D491" s="4" t="s">
        <v>35</v>
      </c>
      <c r="E491" s="4" t="s">
        <v>14</v>
      </c>
      <c r="F491" s="0" t="n">
        <v>8</v>
      </c>
      <c r="G491" s="5" t="n">
        <v>376.29</v>
      </c>
      <c r="H491" s="6" t="n">
        <v>0.15</v>
      </c>
      <c r="I491" s="5" t="n">
        <f aca="false">F491*G491*(1-H491)</f>
        <v>2558.772</v>
      </c>
      <c r="J491" s="4" t="s">
        <v>15</v>
      </c>
      <c r="K491" s="5" t="n">
        <f aca="false">VLOOKUP(D491,Products!$A$2:$E$26,4,FALSE())</f>
        <v>244.6</v>
      </c>
      <c r="L491" s="6" t="n">
        <f aca="false">(I491-F491*K491)/I491</f>
        <v>0.235258162900016</v>
      </c>
    </row>
    <row r="492" customFormat="false" ht="15" hidden="false" customHeight="false" outlineLevel="0" collapsed="false">
      <c r="A492" s="0" t="n">
        <v>10488</v>
      </c>
      <c r="B492" s="3" t="n">
        <v>45632</v>
      </c>
      <c r="C492" s="0" t="n">
        <v>55</v>
      </c>
      <c r="D492" s="4" t="s">
        <v>32</v>
      </c>
      <c r="E492" s="4" t="s">
        <v>21</v>
      </c>
      <c r="F492" s="0" t="n">
        <v>32</v>
      </c>
      <c r="G492" s="5" t="n">
        <v>371.95</v>
      </c>
      <c r="H492" s="6" t="n">
        <v>0.1</v>
      </c>
      <c r="I492" s="5" t="n">
        <f aca="false">F492*G492*(1-H492)</f>
        <v>10712.16</v>
      </c>
      <c r="J492" s="4" t="s">
        <v>18</v>
      </c>
      <c r="K492" s="5" t="n">
        <f aca="false">VLOOKUP(D492,Products!$A$2:$E$26,4,FALSE())</f>
        <v>144.3</v>
      </c>
      <c r="L492" s="6" t="n">
        <f aca="false">(I492-F492*K492)/I492</f>
        <v>0.568938477393915</v>
      </c>
    </row>
    <row r="493" customFormat="false" ht="15" hidden="false" customHeight="false" outlineLevel="0" collapsed="false">
      <c r="A493" s="0" t="n">
        <v>10489</v>
      </c>
      <c r="B493" s="3" t="n">
        <v>45462</v>
      </c>
      <c r="C493" s="0" t="n">
        <v>3</v>
      </c>
      <c r="D493" s="4" t="s">
        <v>17</v>
      </c>
      <c r="E493" s="4" t="s">
        <v>21</v>
      </c>
      <c r="F493" s="0" t="n">
        <v>29</v>
      </c>
      <c r="G493" s="5" t="n">
        <v>87.23</v>
      </c>
      <c r="H493" s="6" t="n">
        <v>0.15</v>
      </c>
      <c r="I493" s="5" t="n">
        <f aca="false">F493*G493*(1-H493)</f>
        <v>2150.2195</v>
      </c>
      <c r="J493" s="4" t="s">
        <v>28</v>
      </c>
      <c r="K493" s="5" t="n">
        <f aca="false">VLOOKUP(D493,Products!$A$2:$E$26,4,FALSE())</f>
        <v>38.24</v>
      </c>
      <c r="L493" s="6" t="n">
        <f aca="false">(I493-F493*K493)/I493</f>
        <v>0.484257304893756</v>
      </c>
    </row>
    <row r="494" customFormat="false" ht="15" hidden="false" customHeight="false" outlineLevel="0" collapsed="false">
      <c r="A494" s="0" t="n">
        <v>10490</v>
      </c>
      <c r="B494" s="3" t="n">
        <v>45408</v>
      </c>
      <c r="C494" s="0" t="n">
        <v>31</v>
      </c>
      <c r="D494" s="4" t="s">
        <v>38</v>
      </c>
      <c r="E494" s="4" t="s">
        <v>21</v>
      </c>
      <c r="F494" s="0" t="n">
        <v>37</v>
      </c>
      <c r="G494" s="5" t="n">
        <v>169.51</v>
      </c>
      <c r="H494" s="6" t="n">
        <v>0</v>
      </c>
      <c r="I494" s="5" t="n">
        <f aca="false">F494*G494*(1-H494)</f>
        <v>6271.87</v>
      </c>
      <c r="J494" s="4" t="s">
        <v>15</v>
      </c>
      <c r="K494" s="5" t="n">
        <f aca="false">VLOOKUP(D494,Products!$A$2:$E$26,4,FALSE())</f>
        <v>107.25</v>
      </c>
      <c r="L494" s="6" t="n">
        <f aca="false">(I494-F494*K494)/I494</f>
        <v>0.36729396495782</v>
      </c>
    </row>
    <row r="495" customFormat="false" ht="15" hidden="false" customHeight="false" outlineLevel="0" collapsed="false">
      <c r="A495" s="0" t="n">
        <v>10491</v>
      </c>
      <c r="B495" s="3" t="n">
        <v>45444</v>
      </c>
      <c r="C495" s="0" t="n">
        <v>20</v>
      </c>
      <c r="D495" s="4" t="s">
        <v>26</v>
      </c>
      <c r="E495" s="4" t="s">
        <v>14</v>
      </c>
      <c r="F495" s="0" t="n">
        <v>36</v>
      </c>
      <c r="G495" s="5" t="n">
        <v>54.11</v>
      </c>
      <c r="H495" s="6" t="n">
        <v>0</v>
      </c>
      <c r="I495" s="5" t="n">
        <f aca="false">F495*G495*(1-H495)</f>
        <v>1947.96</v>
      </c>
      <c r="J495" s="4" t="s">
        <v>18</v>
      </c>
      <c r="K495" s="5" t="n">
        <f aca="false">VLOOKUP(D495,Products!$A$2:$E$26,4,FALSE())</f>
        <v>22.68</v>
      </c>
      <c r="L495" s="6" t="n">
        <f aca="false">(I495-F495*K495)/I495</f>
        <v>0.580853816300129</v>
      </c>
    </row>
    <row r="496" customFormat="false" ht="15" hidden="false" customHeight="false" outlineLevel="0" collapsed="false">
      <c r="A496" s="0" t="n">
        <v>10492</v>
      </c>
      <c r="B496" s="3" t="n">
        <v>45496</v>
      </c>
      <c r="C496" s="0" t="n">
        <v>10</v>
      </c>
      <c r="D496" s="4" t="s">
        <v>29</v>
      </c>
      <c r="E496" s="4" t="s">
        <v>14</v>
      </c>
      <c r="F496" s="0" t="n">
        <v>27</v>
      </c>
      <c r="G496" s="5" t="n">
        <v>76.47</v>
      </c>
      <c r="H496" s="6" t="n">
        <v>0</v>
      </c>
      <c r="I496" s="5" t="n">
        <f aca="false">F496*G496*(1-H496)</f>
        <v>2064.69</v>
      </c>
      <c r="J496" s="4" t="s">
        <v>28</v>
      </c>
      <c r="K496" s="5" t="n">
        <f aca="false">VLOOKUP(D496,Products!$A$2:$E$26,4,FALSE())</f>
        <v>38.68</v>
      </c>
      <c r="L496" s="6" t="n">
        <f aca="false">(I496-F496*K496)/I496</f>
        <v>0.494180724467111</v>
      </c>
    </row>
    <row r="497" customFormat="false" ht="15" hidden="false" customHeight="false" outlineLevel="0" collapsed="false">
      <c r="A497" s="0" t="n">
        <v>10493</v>
      </c>
      <c r="B497" s="3" t="n">
        <v>45627</v>
      </c>
      <c r="C497" s="0" t="n">
        <v>37</v>
      </c>
      <c r="D497" s="4" t="s">
        <v>46</v>
      </c>
      <c r="E497" s="4" t="s">
        <v>20</v>
      </c>
      <c r="F497" s="0" t="n">
        <v>36</v>
      </c>
      <c r="G497" s="5" t="n">
        <v>317.1</v>
      </c>
      <c r="H497" s="6" t="n">
        <v>0</v>
      </c>
      <c r="I497" s="5" t="n">
        <f aca="false">F497*G497*(1-H497)</f>
        <v>11415.6</v>
      </c>
      <c r="J497" s="4" t="s">
        <v>28</v>
      </c>
      <c r="K497" s="5" t="n">
        <f aca="false">VLOOKUP(D497,Products!$A$2:$E$26,4,FALSE())</f>
        <v>219.79</v>
      </c>
      <c r="L497" s="6" t="n">
        <f aca="false">(I497-F497*K497)/I497</f>
        <v>0.306874802901293</v>
      </c>
    </row>
    <row r="498" customFormat="false" ht="15" hidden="false" customHeight="false" outlineLevel="0" collapsed="false">
      <c r="A498" s="0" t="n">
        <v>10494</v>
      </c>
      <c r="B498" s="3" t="n">
        <v>45572</v>
      </c>
      <c r="C498" s="0" t="n">
        <v>78</v>
      </c>
      <c r="D498" s="4" t="s">
        <v>32</v>
      </c>
      <c r="E498" s="4" t="s">
        <v>14</v>
      </c>
      <c r="F498" s="0" t="n">
        <v>2</v>
      </c>
      <c r="G498" s="5" t="n">
        <v>366.18</v>
      </c>
      <c r="H498" s="6" t="n">
        <v>0</v>
      </c>
      <c r="I498" s="5" t="n">
        <f aca="false">F498*G498*(1-H498)</f>
        <v>732.36</v>
      </c>
      <c r="J498" s="4" t="s">
        <v>28</v>
      </c>
      <c r="K498" s="5" t="n">
        <f aca="false">VLOOKUP(D498,Products!$A$2:$E$26,4,FALSE())</f>
        <v>144.3</v>
      </c>
      <c r="L498" s="6" t="n">
        <f aca="false">(I498-F498*K498)/I498</f>
        <v>0.605931509093888</v>
      </c>
    </row>
    <row r="499" customFormat="false" ht="15" hidden="false" customHeight="false" outlineLevel="0" collapsed="false">
      <c r="A499" s="0" t="n">
        <v>10495</v>
      </c>
      <c r="B499" s="3" t="n">
        <v>45336</v>
      </c>
      <c r="C499" s="0" t="n">
        <v>8</v>
      </c>
      <c r="D499" s="4" t="s">
        <v>31</v>
      </c>
      <c r="E499" s="4" t="s">
        <v>21</v>
      </c>
      <c r="F499" s="0" t="n">
        <v>28</v>
      </c>
      <c r="G499" s="5" t="n">
        <v>44.18</v>
      </c>
      <c r="H499" s="6" t="n">
        <v>0.05</v>
      </c>
      <c r="I499" s="5" t="n">
        <f aca="false">F499*G499*(1-H499)</f>
        <v>1175.188</v>
      </c>
      <c r="J499" s="4" t="s">
        <v>15</v>
      </c>
      <c r="K499" s="5" t="n">
        <f aca="false">VLOOKUP(D499,Products!$A$2:$E$26,4,FALSE())</f>
        <v>23.25</v>
      </c>
      <c r="L499" s="6" t="n">
        <f aca="false">(I499-F499*K499)/I499</f>
        <v>0.446046079435801</v>
      </c>
    </row>
    <row r="500" customFormat="false" ht="15" hidden="false" customHeight="false" outlineLevel="0" collapsed="false">
      <c r="A500" s="0" t="n">
        <v>10496</v>
      </c>
      <c r="B500" s="3" t="n">
        <v>45499</v>
      </c>
      <c r="C500" s="0" t="n">
        <v>13</v>
      </c>
      <c r="D500" s="4" t="s">
        <v>42</v>
      </c>
      <c r="E500" s="4" t="s">
        <v>21</v>
      </c>
      <c r="F500" s="0" t="n">
        <v>22</v>
      </c>
      <c r="G500" s="5" t="n">
        <v>73.9</v>
      </c>
      <c r="H500" s="6" t="n">
        <v>0</v>
      </c>
      <c r="I500" s="5" t="n">
        <f aca="false">F500*G500*(1-H500)</f>
        <v>1625.8</v>
      </c>
      <c r="J500" s="4" t="s">
        <v>15</v>
      </c>
      <c r="K500" s="5" t="n">
        <f aca="false">VLOOKUP(D500,Products!$A$2:$E$26,4,FALSE())</f>
        <v>47.32</v>
      </c>
      <c r="L500" s="6" t="n">
        <f aca="false">(I500-F500*K500)/I500</f>
        <v>0.359675236806495</v>
      </c>
    </row>
    <row r="501" customFormat="false" ht="15" hidden="false" customHeight="false" outlineLevel="0" collapsed="false">
      <c r="A501" s="0" t="n">
        <v>10497</v>
      </c>
      <c r="B501" s="3" t="n">
        <v>45342</v>
      </c>
      <c r="C501" s="0" t="n">
        <v>17</v>
      </c>
      <c r="D501" s="4" t="s">
        <v>45</v>
      </c>
      <c r="E501" s="4" t="s">
        <v>14</v>
      </c>
      <c r="F501" s="0" t="n">
        <v>35</v>
      </c>
      <c r="G501" s="5" t="n">
        <v>97.99</v>
      </c>
      <c r="H501" s="6" t="n">
        <v>0.15</v>
      </c>
      <c r="I501" s="5" t="n">
        <f aca="false">F501*G501*(1-H501)</f>
        <v>2915.2025</v>
      </c>
      <c r="J501" s="4" t="s">
        <v>18</v>
      </c>
      <c r="K501" s="5" t="n">
        <f aca="false">VLOOKUP(D501,Products!$A$2:$E$26,4,FALSE())</f>
        <v>41.2</v>
      </c>
      <c r="L501" s="6" t="n">
        <f aca="false">(I501-F501*K501)/I501</f>
        <v>0.505351686546646</v>
      </c>
    </row>
    <row r="502" customFormat="false" ht="15" hidden="false" customHeight="false" outlineLevel="0" collapsed="false">
      <c r="A502" s="0" t="n">
        <v>10498</v>
      </c>
      <c r="B502" s="3" t="n">
        <v>45353</v>
      </c>
      <c r="C502" s="0" t="n">
        <v>20</v>
      </c>
      <c r="D502" s="4" t="s">
        <v>27</v>
      </c>
      <c r="E502" s="4" t="s">
        <v>14</v>
      </c>
      <c r="F502" s="0" t="n">
        <v>17</v>
      </c>
      <c r="G502" s="5" t="n">
        <v>119.49</v>
      </c>
      <c r="H502" s="6" t="n">
        <v>0</v>
      </c>
      <c r="I502" s="5" t="n">
        <f aca="false">F502*G502*(1-H502)</f>
        <v>2031.33</v>
      </c>
      <c r="J502" s="4" t="s">
        <v>15</v>
      </c>
      <c r="K502" s="5" t="n">
        <f aca="false">VLOOKUP(D502,Products!$A$2:$E$26,4,FALSE())</f>
        <v>45.07</v>
      </c>
      <c r="L502" s="6" t="n">
        <f aca="false">(I502-F502*K502)/I502</f>
        <v>0.622813624571094</v>
      </c>
    </row>
    <row r="503" customFormat="false" ht="15" hidden="false" customHeight="false" outlineLevel="0" collapsed="false">
      <c r="A503" s="0" t="n">
        <v>10499</v>
      </c>
      <c r="B503" s="3" t="n">
        <v>45393</v>
      </c>
      <c r="C503" s="0" t="n">
        <v>73</v>
      </c>
      <c r="D503" s="4" t="s">
        <v>25</v>
      </c>
      <c r="E503" s="4" t="s">
        <v>21</v>
      </c>
      <c r="F503" s="0" t="n">
        <v>12</v>
      </c>
      <c r="G503" s="5" t="n">
        <v>209.91</v>
      </c>
      <c r="H503" s="6" t="n">
        <v>0</v>
      </c>
      <c r="I503" s="5" t="n">
        <f aca="false">F503*G503*(1-H503)</f>
        <v>2518.92</v>
      </c>
      <c r="J503" s="4" t="s">
        <v>28</v>
      </c>
      <c r="K503" s="5" t="n">
        <f aca="false">VLOOKUP(D503,Products!$A$2:$E$26,4,FALSE())</f>
        <v>128.85</v>
      </c>
      <c r="L503" s="6" t="n">
        <f aca="false">(I503-F503*K503)/I503</f>
        <v>0.386165499499786</v>
      </c>
    </row>
    <row r="504" customFormat="false" ht="15" hidden="false" customHeight="false" outlineLevel="0" collapsed="false">
      <c r="A504" s="0" t="n">
        <v>10500</v>
      </c>
      <c r="B504" s="3" t="n">
        <v>45404</v>
      </c>
      <c r="C504" s="0" t="n">
        <v>76</v>
      </c>
      <c r="D504" s="4" t="s">
        <v>27</v>
      </c>
      <c r="E504" s="4" t="s">
        <v>21</v>
      </c>
      <c r="F504" s="0" t="n">
        <v>23</v>
      </c>
      <c r="G504" s="5" t="n">
        <v>113.38</v>
      </c>
      <c r="H504" s="6" t="n">
        <v>0.15</v>
      </c>
      <c r="I504" s="5" t="n">
        <f aca="false">F504*G504*(1-H504)</f>
        <v>2216.579</v>
      </c>
      <c r="J504" s="4" t="s">
        <v>18</v>
      </c>
      <c r="K504" s="5" t="n">
        <f aca="false">VLOOKUP(D504,Products!$A$2:$E$26,4,FALSE())</f>
        <v>45.07</v>
      </c>
      <c r="L504" s="6" t="n">
        <f aca="false">(I504-F504*K504)/I504</f>
        <v>0.532337895468648</v>
      </c>
    </row>
    <row r="505" customFormat="false" ht="15" hidden="false" customHeight="false" outlineLevel="0" collapsed="false">
      <c r="A505" s="0" t="n">
        <v>10501</v>
      </c>
      <c r="B505" s="3" t="n">
        <v>45429</v>
      </c>
      <c r="C505" s="0" t="n">
        <v>80</v>
      </c>
      <c r="D505" s="4" t="s">
        <v>23</v>
      </c>
      <c r="E505" s="4" t="s">
        <v>24</v>
      </c>
      <c r="F505" s="0" t="n">
        <v>32</v>
      </c>
      <c r="G505" s="5" t="n">
        <v>124.4</v>
      </c>
      <c r="H505" s="6" t="n">
        <v>0</v>
      </c>
      <c r="I505" s="5" t="n">
        <f aca="false">F505*G505*(1-H505)</f>
        <v>3980.8</v>
      </c>
      <c r="J505" s="4" t="s">
        <v>18</v>
      </c>
      <c r="K505" s="5" t="n">
        <f aca="false">VLOOKUP(D505,Products!$A$2:$E$26,4,FALSE())</f>
        <v>75.38</v>
      </c>
      <c r="L505" s="6" t="n">
        <f aca="false">(I505-F505*K505)/I505</f>
        <v>0.394051446945338</v>
      </c>
    </row>
    <row r="506" customFormat="false" ht="15" hidden="false" customHeight="false" outlineLevel="0" collapsed="false">
      <c r="A506" s="0" t="n">
        <v>10502</v>
      </c>
      <c r="B506" s="3" t="n">
        <v>45312</v>
      </c>
      <c r="C506" s="0" t="n">
        <v>68</v>
      </c>
      <c r="D506" s="4" t="s">
        <v>29</v>
      </c>
      <c r="E506" s="4" t="s">
        <v>20</v>
      </c>
      <c r="F506" s="0" t="n">
        <v>7</v>
      </c>
      <c r="G506" s="5" t="n">
        <v>78.19</v>
      </c>
      <c r="H506" s="6" t="n">
        <v>0.15</v>
      </c>
      <c r="I506" s="5" t="n">
        <f aca="false">F506*G506*(1-H506)</f>
        <v>465.2305</v>
      </c>
      <c r="J506" s="4" t="s">
        <v>28</v>
      </c>
      <c r="K506" s="5" t="n">
        <f aca="false">VLOOKUP(D506,Products!$A$2:$E$26,4,FALSE())</f>
        <v>38.68</v>
      </c>
      <c r="L506" s="6" t="n">
        <f aca="false">(I506-F506*K506)/I506</f>
        <v>0.418008922458867</v>
      </c>
    </row>
    <row r="507" customFormat="false" ht="15" hidden="false" customHeight="false" outlineLevel="0" collapsed="false">
      <c r="A507" s="0" t="n">
        <v>10503</v>
      </c>
      <c r="B507" s="3" t="n">
        <v>45652</v>
      </c>
      <c r="C507" s="0" t="n">
        <v>27</v>
      </c>
      <c r="D507" s="4" t="s">
        <v>31</v>
      </c>
      <c r="E507" s="4" t="s">
        <v>14</v>
      </c>
      <c r="F507" s="0" t="n">
        <v>1</v>
      </c>
      <c r="G507" s="5" t="n">
        <v>44.57</v>
      </c>
      <c r="H507" s="6" t="n">
        <v>0.15</v>
      </c>
      <c r="I507" s="5" t="n">
        <f aca="false">F507*G507*(1-H507)</f>
        <v>37.8845</v>
      </c>
      <c r="J507" s="4" t="s">
        <v>18</v>
      </c>
      <c r="K507" s="5" t="n">
        <f aca="false">VLOOKUP(D507,Products!$A$2:$E$26,4,FALSE())</f>
        <v>23.25</v>
      </c>
      <c r="L507" s="6" t="n">
        <f aca="false">(I507-F507*K507)/I507</f>
        <v>0.3862925470839</v>
      </c>
    </row>
    <row r="508" customFormat="false" ht="15" hidden="false" customHeight="false" outlineLevel="0" collapsed="false">
      <c r="A508" s="0" t="n">
        <v>10504</v>
      </c>
      <c r="B508" s="3" t="n">
        <v>45382</v>
      </c>
      <c r="C508" s="0" t="n">
        <v>59</v>
      </c>
      <c r="D508" s="4" t="s">
        <v>16</v>
      </c>
      <c r="E508" s="4" t="s">
        <v>20</v>
      </c>
      <c r="F508" s="0" t="n">
        <v>39</v>
      </c>
      <c r="G508" s="5" t="n">
        <v>140.78</v>
      </c>
      <c r="H508" s="6" t="n">
        <v>0</v>
      </c>
      <c r="I508" s="5" t="n">
        <f aca="false">F508*G508*(1-H508)</f>
        <v>5490.42</v>
      </c>
      <c r="J508" s="4" t="s">
        <v>15</v>
      </c>
      <c r="K508" s="5" t="n">
        <f aca="false">VLOOKUP(D508,Products!$A$2:$E$26,4,FALSE())</f>
        <v>72.1</v>
      </c>
      <c r="L508" s="6" t="n">
        <f aca="false">(I508-F508*K508)/I508</f>
        <v>0.487853388265379</v>
      </c>
    </row>
    <row r="509" customFormat="false" ht="15" hidden="false" customHeight="false" outlineLevel="0" collapsed="false">
      <c r="A509" s="0" t="n">
        <v>10505</v>
      </c>
      <c r="B509" s="3" t="n">
        <v>45326</v>
      </c>
      <c r="C509" s="0" t="n">
        <v>66</v>
      </c>
      <c r="D509" s="4" t="s">
        <v>30</v>
      </c>
      <c r="E509" s="4" t="s">
        <v>14</v>
      </c>
      <c r="F509" s="0" t="n">
        <v>23</v>
      </c>
      <c r="G509" s="5" t="n">
        <v>214.68</v>
      </c>
      <c r="H509" s="6" t="n">
        <v>0.1</v>
      </c>
      <c r="I509" s="5" t="n">
        <f aca="false">F509*G509*(1-H509)</f>
        <v>4443.876</v>
      </c>
      <c r="J509" s="4" t="s">
        <v>18</v>
      </c>
      <c r="K509" s="5" t="n">
        <f aca="false">VLOOKUP(D509,Products!$A$2:$E$26,4,FALSE())</f>
        <v>97.8</v>
      </c>
      <c r="L509" s="6" t="n">
        <f aca="false">(I509-F509*K509)/I509</f>
        <v>0.493820259611204</v>
      </c>
    </row>
    <row r="510" customFormat="false" ht="15" hidden="false" customHeight="false" outlineLevel="0" collapsed="false">
      <c r="A510" s="0" t="n">
        <v>10506</v>
      </c>
      <c r="B510" s="3" t="n">
        <v>45352</v>
      </c>
      <c r="C510" s="0" t="n">
        <v>48</v>
      </c>
      <c r="D510" s="4" t="s">
        <v>42</v>
      </c>
      <c r="E510" s="4" t="s">
        <v>24</v>
      </c>
      <c r="F510" s="0" t="n">
        <v>14</v>
      </c>
      <c r="G510" s="5" t="n">
        <v>75.45</v>
      </c>
      <c r="H510" s="6" t="n">
        <v>0</v>
      </c>
      <c r="I510" s="5" t="n">
        <f aca="false">F510*G510*(1-H510)</f>
        <v>1056.3</v>
      </c>
      <c r="J510" s="4" t="s">
        <v>28</v>
      </c>
      <c r="K510" s="5" t="n">
        <f aca="false">VLOOKUP(D510,Products!$A$2:$E$26,4,FALSE())</f>
        <v>47.32</v>
      </c>
      <c r="L510" s="6" t="n">
        <f aca="false">(I510-F510*K510)/I510</f>
        <v>0.372829688535454</v>
      </c>
    </row>
    <row r="511" customFormat="false" ht="15" hidden="false" customHeight="false" outlineLevel="0" collapsed="false">
      <c r="A511" s="0" t="n">
        <v>10507</v>
      </c>
      <c r="B511" s="3" t="n">
        <v>45446</v>
      </c>
      <c r="C511" s="0" t="n">
        <v>3</v>
      </c>
      <c r="D511" s="4" t="s">
        <v>46</v>
      </c>
      <c r="E511" s="4" t="s">
        <v>14</v>
      </c>
      <c r="F511" s="0" t="n">
        <v>38</v>
      </c>
      <c r="G511" s="5" t="n">
        <v>328.66</v>
      </c>
      <c r="H511" s="6" t="n">
        <v>0</v>
      </c>
      <c r="I511" s="5" t="n">
        <f aca="false">F511*G511*(1-H511)</f>
        <v>12489.08</v>
      </c>
      <c r="J511" s="4" t="s">
        <v>18</v>
      </c>
      <c r="K511" s="5" t="n">
        <f aca="false">VLOOKUP(D511,Products!$A$2:$E$26,4,FALSE())</f>
        <v>219.79</v>
      </c>
      <c r="L511" s="6" t="n">
        <f aca="false">(I511-F511*K511)/I511</f>
        <v>0.331254183654841</v>
      </c>
    </row>
    <row r="512" customFormat="false" ht="15" hidden="false" customHeight="false" outlineLevel="0" collapsed="false">
      <c r="A512" s="0" t="n">
        <v>10508</v>
      </c>
      <c r="B512" s="3" t="n">
        <v>45409</v>
      </c>
      <c r="C512" s="0" t="n">
        <v>36</v>
      </c>
      <c r="D512" s="4" t="s">
        <v>32</v>
      </c>
      <c r="E512" s="4" t="s">
        <v>14</v>
      </c>
      <c r="F512" s="0" t="n">
        <v>8</v>
      </c>
      <c r="G512" s="5" t="n">
        <v>345.64</v>
      </c>
      <c r="H512" s="6" t="n">
        <v>0</v>
      </c>
      <c r="I512" s="5" t="n">
        <f aca="false">F512*G512*(1-H512)</f>
        <v>2765.12</v>
      </c>
      <c r="J512" s="4" t="s">
        <v>15</v>
      </c>
      <c r="K512" s="5" t="n">
        <f aca="false">VLOOKUP(D512,Products!$A$2:$E$26,4,FALSE())</f>
        <v>144.3</v>
      </c>
      <c r="L512" s="6" t="n">
        <f aca="false">(I512-F512*K512)/I512</f>
        <v>0.582513597963199</v>
      </c>
    </row>
    <row r="513" customFormat="false" ht="15" hidden="false" customHeight="false" outlineLevel="0" collapsed="false">
      <c r="A513" s="0" t="n">
        <v>10509</v>
      </c>
      <c r="B513" s="3" t="n">
        <v>45390</v>
      </c>
      <c r="C513" s="0" t="n">
        <v>9</v>
      </c>
      <c r="D513" s="4" t="s">
        <v>16</v>
      </c>
      <c r="E513" s="4" t="s">
        <v>20</v>
      </c>
      <c r="F513" s="0" t="n">
        <v>31</v>
      </c>
      <c r="G513" s="5" t="n">
        <v>138.28</v>
      </c>
      <c r="H513" s="6" t="n">
        <v>0.15</v>
      </c>
      <c r="I513" s="5" t="n">
        <f aca="false">F513*G513*(1-H513)</f>
        <v>3643.678</v>
      </c>
      <c r="J513" s="4" t="s">
        <v>15</v>
      </c>
      <c r="K513" s="5" t="n">
        <f aca="false">VLOOKUP(D513,Products!$A$2:$E$26,4,FALSE())</f>
        <v>72.1</v>
      </c>
      <c r="L513" s="6" t="n">
        <f aca="false">(I513-F513*K513)/I513</f>
        <v>0.386581360921574</v>
      </c>
    </row>
    <row r="514" customFormat="false" ht="15" hidden="false" customHeight="false" outlineLevel="0" collapsed="false">
      <c r="A514" s="0" t="n">
        <v>10510</v>
      </c>
      <c r="B514" s="3" t="n">
        <v>45375</v>
      </c>
      <c r="C514" s="0" t="n">
        <v>73</v>
      </c>
      <c r="D514" s="4" t="s">
        <v>13</v>
      </c>
      <c r="E514" s="4" t="s">
        <v>21</v>
      </c>
      <c r="F514" s="0" t="n">
        <v>4</v>
      </c>
      <c r="G514" s="5" t="n">
        <v>94.12</v>
      </c>
      <c r="H514" s="6" t="n">
        <v>0.05</v>
      </c>
      <c r="I514" s="5" t="n">
        <f aca="false">F514*G514*(1-H514)</f>
        <v>357.656</v>
      </c>
      <c r="J514" s="4" t="s">
        <v>15</v>
      </c>
      <c r="K514" s="5" t="n">
        <f aca="false">VLOOKUP(D514,Products!$A$2:$E$26,4,FALSE())</f>
        <v>39.86</v>
      </c>
      <c r="L514" s="6" t="n">
        <f aca="false">(I514-F514*K514)/I514</f>
        <v>0.554208513208222</v>
      </c>
    </row>
    <row r="515" customFormat="false" ht="15" hidden="false" customHeight="false" outlineLevel="0" collapsed="false">
      <c r="A515" s="0" t="n">
        <v>10511</v>
      </c>
      <c r="B515" s="3" t="n">
        <v>45467</v>
      </c>
      <c r="C515" s="0" t="n">
        <v>70</v>
      </c>
      <c r="D515" s="4" t="s">
        <v>17</v>
      </c>
      <c r="E515" s="4" t="s">
        <v>14</v>
      </c>
      <c r="F515" s="0" t="n">
        <v>34</v>
      </c>
      <c r="G515" s="5" t="n">
        <v>86.24</v>
      </c>
      <c r="H515" s="6" t="n">
        <v>0</v>
      </c>
      <c r="I515" s="5" t="n">
        <f aca="false">F515*G515*(1-H515)</f>
        <v>2932.16</v>
      </c>
      <c r="J515" s="4" t="s">
        <v>18</v>
      </c>
      <c r="K515" s="5" t="n">
        <f aca="false">VLOOKUP(D515,Products!$A$2:$E$26,4,FALSE())</f>
        <v>38.24</v>
      </c>
      <c r="L515" s="6" t="n">
        <f aca="false">(I515-F515*K515)/I515</f>
        <v>0.556586270871985</v>
      </c>
    </row>
    <row r="516" customFormat="false" ht="15" hidden="false" customHeight="false" outlineLevel="0" collapsed="false">
      <c r="A516" s="0" t="n">
        <v>10512</v>
      </c>
      <c r="B516" s="3" t="n">
        <v>45311</v>
      </c>
      <c r="C516" s="0" t="n">
        <v>30</v>
      </c>
      <c r="D516" s="4" t="s">
        <v>33</v>
      </c>
      <c r="E516" s="4" t="s">
        <v>14</v>
      </c>
      <c r="F516" s="0" t="n">
        <v>9</v>
      </c>
      <c r="G516" s="5" t="n">
        <v>43.29</v>
      </c>
      <c r="H516" s="6" t="n">
        <v>0</v>
      </c>
      <c r="I516" s="5" t="n">
        <f aca="false">F516*G516*(1-H516)</f>
        <v>389.61</v>
      </c>
      <c r="J516" s="4" t="s">
        <v>18</v>
      </c>
      <c r="K516" s="5" t="n">
        <f aca="false">VLOOKUP(D516,Products!$A$2:$E$26,4,FALSE())</f>
        <v>28.4</v>
      </c>
      <c r="L516" s="6" t="n">
        <f aca="false">(I516-F516*K516)/I516</f>
        <v>0.343959343959344</v>
      </c>
    </row>
    <row r="517" customFormat="false" ht="15" hidden="false" customHeight="false" outlineLevel="0" collapsed="false">
      <c r="A517" s="0" t="n">
        <v>10513</v>
      </c>
      <c r="B517" s="3" t="n">
        <v>45375</v>
      </c>
      <c r="C517" s="0" t="n">
        <v>39</v>
      </c>
      <c r="D517" s="4" t="s">
        <v>45</v>
      </c>
      <c r="E517" s="4" t="s">
        <v>20</v>
      </c>
      <c r="F517" s="0" t="n">
        <v>39</v>
      </c>
      <c r="G517" s="5" t="n">
        <v>97.26</v>
      </c>
      <c r="H517" s="6" t="n">
        <v>0</v>
      </c>
      <c r="I517" s="5" t="n">
        <f aca="false">F517*G517*(1-H517)</f>
        <v>3793.14</v>
      </c>
      <c r="J517" s="4" t="s">
        <v>15</v>
      </c>
      <c r="K517" s="5" t="n">
        <f aca="false">VLOOKUP(D517,Products!$A$2:$E$26,4,FALSE())</f>
        <v>41.2</v>
      </c>
      <c r="L517" s="6" t="n">
        <f aca="false">(I517-F517*K517)/I517</f>
        <v>0.576393172938515</v>
      </c>
    </row>
    <row r="518" customFormat="false" ht="15" hidden="false" customHeight="false" outlineLevel="0" collapsed="false">
      <c r="A518" s="0" t="n">
        <v>10514</v>
      </c>
      <c r="B518" s="3" t="n">
        <v>45338</v>
      </c>
      <c r="C518" s="0" t="n">
        <v>53</v>
      </c>
      <c r="D518" s="4" t="s">
        <v>22</v>
      </c>
      <c r="E518" s="4" t="s">
        <v>21</v>
      </c>
      <c r="F518" s="0" t="n">
        <v>12</v>
      </c>
      <c r="G518" s="5" t="n">
        <v>48.86</v>
      </c>
      <c r="H518" s="6" t="n">
        <v>0.05</v>
      </c>
      <c r="I518" s="5" t="n">
        <f aca="false">F518*G518*(1-H518)</f>
        <v>557.004</v>
      </c>
      <c r="J518" s="4" t="s">
        <v>15</v>
      </c>
      <c r="K518" s="5" t="n">
        <f aca="false">VLOOKUP(D518,Products!$A$2:$E$26,4,FALSE())</f>
        <v>26.06</v>
      </c>
      <c r="L518" s="6" t="n">
        <f aca="false">(I518-F518*K518)/I518</f>
        <v>0.438567766120171</v>
      </c>
    </row>
    <row r="519" customFormat="false" ht="15" hidden="false" customHeight="false" outlineLevel="0" collapsed="false">
      <c r="A519" s="0" t="n">
        <v>10515</v>
      </c>
      <c r="B519" s="3" t="n">
        <v>45422</v>
      </c>
      <c r="C519" s="0" t="n">
        <v>9</v>
      </c>
      <c r="D519" s="4" t="s">
        <v>26</v>
      </c>
      <c r="E519" s="4" t="s">
        <v>24</v>
      </c>
      <c r="F519" s="0" t="n">
        <v>4</v>
      </c>
      <c r="G519" s="5" t="n">
        <v>55.09</v>
      </c>
      <c r="H519" s="6" t="n">
        <v>0.15</v>
      </c>
      <c r="I519" s="5" t="n">
        <f aca="false">F519*G519*(1-H519)</f>
        <v>187.306</v>
      </c>
      <c r="J519" s="4" t="s">
        <v>15</v>
      </c>
      <c r="K519" s="5" t="n">
        <f aca="false">VLOOKUP(D519,Products!$A$2:$E$26,4,FALSE())</f>
        <v>22.68</v>
      </c>
      <c r="L519" s="6" t="n">
        <f aca="false">(I519-F519*K519)/I519</f>
        <v>0.515658868375813</v>
      </c>
    </row>
    <row r="520" customFormat="false" ht="15" hidden="false" customHeight="false" outlineLevel="0" collapsed="false">
      <c r="A520" s="0" t="n">
        <v>10516</v>
      </c>
      <c r="B520" s="3" t="n">
        <v>45511</v>
      </c>
      <c r="C520" s="0" t="n">
        <v>49</v>
      </c>
      <c r="D520" s="4" t="s">
        <v>43</v>
      </c>
      <c r="E520" s="4" t="s">
        <v>24</v>
      </c>
      <c r="F520" s="0" t="n">
        <v>7</v>
      </c>
      <c r="G520" s="5" t="n">
        <v>213.4</v>
      </c>
      <c r="H520" s="6" t="n">
        <v>0</v>
      </c>
      <c r="I520" s="5" t="n">
        <f aca="false">F520*G520*(1-H520)</f>
        <v>1493.8</v>
      </c>
      <c r="J520" s="4" t="s">
        <v>15</v>
      </c>
      <c r="K520" s="5" t="n">
        <f aca="false">VLOOKUP(D520,Products!$A$2:$E$26,4,FALSE())</f>
        <v>126.91</v>
      </c>
      <c r="L520" s="6" t="n">
        <f aca="false">(I520-F520*K520)/I520</f>
        <v>0.405295220243674</v>
      </c>
    </row>
    <row r="521" customFormat="false" ht="15" hidden="false" customHeight="false" outlineLevel="0" collapsed="false">
      <c r="A521" s="0" t="n">
        <v>10517</v>
      </c>
      <c r="B521" s="3" t="n">
        <v>45424</v>
      </c>
      <c r="C521" s="0" t="n">
        <v>9</v>
      </c>
      <c r="D521" s="4" t="s">
        <v>31</v>
      </c>
      <c r="E521" s="4" t="s">
        <v>14</v>
      </c>
      <c r="F521" s="0" t="n">
        <v>16</v>
      </c>
      <c r="G521" s="5" t="n">
        <v>42.11</v>
      </c>
      <c r="H521" s="6" t="n">
        <v>0</v>
      </c>
      <c r="I521" s="5" t="n">
        <f aca="false">F521*G521*(1-H521)</f>
        <v>673.76</v>
      </c>
      <c r="J521" s="4" t="s">
        <v>15</v>
      </c>
      <c r="K521" s="5" t="n">
        <f aca="false">VLOOKUP(D521,Products!$A$2:$E$26,4,FALSE())</f>
        <v>23.25</v>
      </c>
      <c r="L521" s="6" t="n">
        <f aca="false">(I521-F521*K521)/I521</f>
        <v>0.447874614105913</v>
      </c>
    </row>
    <row r="522" customFormat="false" ht="15" hidden="false" customHeight="false" outlineLevel="0" collapsed="false">
      <c r="A522" s="0" t="n">
        <v>10518</v>
      </c>
      <c r="B522" s="3" t="n">
        <v>45574</v>
      </c>
      <c r="C522" s="0" t="n">
        <v>79</v>
      </c>
      <c r="D522" s="4" t="s">
        <v>26</v>
      </c>
      <c r="E522" s="4" t="s">
        <v>24</v>
      </c>
      <c r="F522" s="0" t="n">
        <v>33</v>
      </c>
      <c r="G522" s="5" t="n">
        <v>54.23</v>
      </c>
      <c r="H522" s="6" t="n">
        <v>0</v>
      </c>
      <c r="I522" s="5" t="n">
        <f aca="false">F522*G522*(1-H522)</f>
        <v>1789.59</v>
      </c>
      <c r="J522" s="4" t="s">
        <v>15</v>
      </c>
      <c r="K522" s="5" t="n">
        <f aca="false">VLOOKUP(D522,Products!$A$2:$E$26,4,FALSE())</f>
        <v>22.68</v>
      </c>
      <c r="L522" s="6" t="n">
        <f aca="false">(I522-F522*K522)/I522</f>
        <v>0.581781301862438</v>
      </c>
    </row>
    <row r="523" customFormat="false" ht="15" hidden="false" customHeight="false" outlineLevel="0" collapsed="false">
      <c r="A523" s="0" t="n">
        <v>10519</v>
      </c>
      <c r="B523" s="3" t="n">
        <v>45416</v>
      </c>
      <c r="C523" s="0" t="n">
        <v>42</v>
      </c>
      <c r="D523" s="4" t="s">
        <v>35</v>
      </c>
      <c r="E523" s="4" t="s">
        <v>20</v>
      </c>
      <c r="F523" s="0" t="n">
        <v>23</v>
      </c>
      <c r="G523" s="5" t="n">
        <v>387.12</v>
      </c>
      <c r="H523" s="6" t="n">
        <v>0.05</v>
      </c>
      <c r="I523" s="5" t="n">
        <f aca="false">F523*G523*(1-H523)</f>
        <v>8458.572</v>
      </c>
      <c r="J523" s="4" t="s">
        <v>28</v>
      </c>
      <c r="K523" s="5" t="n">
        <f aca="false">VLOOKUP(D523,Products!$A$2:$E$26,4,FALSE())</f>
        <v>244.6</v>
      </c>
      <c r="L523" s="6" t="n">
        <f aca="false">(I523-F523*K523)/I523</f>
        <v>0.334899555149498</v>
      </c>
    </row>
    <row r="524" customFormat="false" ht="15" hidden="false" customHeight="false" outlineLevel="0" collapsed="false">
      <c r="A524" s="0" t="n">
        <v>10520</v>
      </c>
      <c r="B524" s="3" t="n">
        <v>45377</v>
      </c>
      <c r="C524" s="0" t="n">
        <v>10</v>
      </c>
      <c r="D524" s="4" t="s">
        <v>36</v>
      </c>
      <c r="E524" s="4" t="s">
        <v>24</v>
      </c>
      <c r="F524" s="0" t="n">
        <v>34</v>
      </c>
      <c r="G524" s="5" t="n">
        <v>53.34</v>
      </c>
      <c r="H524" s="6" t="n">
        <v>0.1</v>
      </c>
      <c r="I524" s="5" t="n">
        <f aca="false">F524*G524*(1-H524)</f>
        <v>1632.204</v>
      </c>
      <c r="J524" s="4" t="s">
        <v>15</v>
      </c>
      <c r="K524" s="5" t="n">
        <f aca="false">VLOOKUP(D524,Products!$A$2:$E$26,4,FALSE())</f>
        <v>23.74</v>
      </c>
      <c r="L524" s="6" t="n">
        <f aca="false">(I524-F524*K524)/I524</f>
        <v>0.505478481856435</v>
      </c>
    </row>
    <row r="525" customFormat="false" ht="15" hidden="false" customHeight="false" outlineLevel="0" collapsed="false">
      <c r="A525" s="0" t="n">
        <v>10521</v>
      </c>
      <c r="B525" s="3" t="n">
        <v>45626</v>
      </c>
      <c r="C525" s="0" t="n">
        <v>69</v>
      </c>
      <c r="D525" s="4" t="s">
        <v>29</v>
      </c>
      <c r="E525" s="4" t="s">
        <v>20</v>
      </c>
      <c r="F525" s="0" t="n">
        <v>23</v>
      </c>
      <c r="G525" s="5" t="n">
        <v>81.37</v>
      </c>
      <c r="H525" s="6" t="n">
        <v>0.15</v>
      </c>
      <c r="I525" s="5" t="n">
        <f aca="false">F525*G525*(1-H525)</f>
        <v>1590.7835</v>
      </c>
      <c r="J525" s="4" t="s">
        <v>18</v>
      </c>
      <c r="K525" s="5" t="n">
        <f aca="false">VLOOKUP(D525,Products!$A$2:$E$26,4,FALSE())</f>
        <v>38.68</v>
      </c>
      <c r="L525" s="6" t="n">
        <f aca="false">(I525-F525*K525)/I525</f>
        <v>0.44075356577435</v>
      </c>
    </row>
    <row r="526" customFormat="false" ht="15" hidden="false" customHeight="false" outlineLevel="0" collapsed="false">
      <c r="A526" s="0" t="n">
        <v>10522</v>
      </c>
      <c r="B526" s="3" t="n">
        <v>45367</v>
      </c>
      <c r="C526" s="0" t="n">
        <v>17</v>
      </c>
      <c r="D526" s="4" t="s">
        <v>33</v>
      </c>
      <c r="E526" s="4" t="s">
        <v>24</v>
      </c>
      <c r="F526" s="0" t="n">
        <v>25</v>
      </c>
      <c r="G526" s="5" t="n">
        <v>45.14</v>
      </c>
      <c r="H526" s="6" t="n">
        <v>0.1</v>
      </c>
      <c r="I526" s="5" t="n">
        <f aca="false">F526*G526*(1-H526)</f>
        <v>1015.65</v>
      </c>
      <c r="J526" s="4" t="s">
        <v>15</v>
      </c>
      <c r="K526" s="5" t="n">
        <f aca="false">VLOOKUP(D526,Products!$A$2:$E$26,4,FALSE())</f>
        <v>28.4</v>
      </c>
      <c r="L526" s="6" t="n">
        <f aca="false">(I526-F526*K526)/I526</f>
        <v>0.300940284546842</v>
      </c>
    </row>
    <row r="527" customFormat="false" ht="15" hidden="false" customHeight="false" outlineLevel="0" collapsed="false">
      <c r="A527" s="0" t="n">
        <v>10523</v>
      </c>
      <c r="B527" s="3" t="n">
        <v>45351</v>
      </c>
      <c r="C527" s="0" t="n">
        <v>41</v>
      </c>
      <c r="D527" s="4" t="s">
        <v>29</v>
      </c>
      <c r="E527" s="4" t="s">
        <v>24</v>
      </c>
      <c r="F527" s="0" t="n">
        <v>37</v>
      </c>
      <c r="G527" s="5" t="n">
        <v>77.89</v>
      </c>
      <c r="H527" s="6" t="n">
        <v>0.15</v>
      </c>
      <c r="I527" s="5" t="n">
        <f aca="false">F527*G527*(1-H527)</f>
        <v>2449.6405</v>
      </c>
      <c r="J527" s="4" t="s">
        <v>15</v>
      </c>
      <c r="K527" s="5" t="n">
        <f aca="false">VLOOKUP(D527,Products!$A$2:$E$26,4,FALSE())</f>
        <v>38.68</v>
      </c>
      <c r="L527" s="6" t="n">
        <f aca="false">(I527-F527*K527)/I527</f>
        <v>0.415767334023094</v>
      </c>
    </row>
    <row r="528" customFormat="false" ht="15" hidden="false" customHeight="false" outlineLevel="0" collapsed="false">
      <c r="A528" s="0" t="n">
        <v>10524</v>
      </c>
      <c r="B528" s="3" t="n">
        <v>45429</v>
      </c>
      <c r="C528" s="0" t="n">
        <v>54</v>
      </c>
      <c r="D528" s="4" t="s">
        <v>22</v>
      </c>
      <c r="E528" s="4" t="s">
        <v>14</v>
      </c>
      <c r="F528" s="0" t="n">
        <v>13</v>
      </c>
      <c r="G528" s="5" t="n">
        <v>49.88</v>
      </c>
      <c r="H528" s="6" t="n">
        <v>0</v>
      </c>
      <c r="I528" s="5" t="n">
        <f aca="false">F528*G528*(1-H528)</f>
        <v>648.44</v>
      </c>
      <c r="J528" s="4" t="s">
        <v>15</v>
      </c>
      <c r="K528" s="5" t="n">
        <f aca="false">VLOOKUP(D528,Products!$A$2:$E$26,4,FALSE())</f>
        <v>26.06</v>
      </c>
      <c r="L528" s="6" t="n">
        <f aca="false">(I528-F528*K528)/I528</f>
        <v>0.477546110665598</v>
      </c>
    </row>
    <row r="529" customFormat="false" ht="15" hidden="false" customHeight="false" outlineLevel="0" collapsed="false">
      <c r="A529" s="0" t="n">
        <v>10525</v>
      </c>
      <c r="B529" s="3" t="n">
        <v>45529</v>
      </c>
      <c r="C529" s="0" t="n">
        <v>58</v>
      </c>
      <c r="D529" s="4" t="s">
        <v>32</v>
      </c>
      <c r="E529" s="4" t="s">
        <v>20</v>
      </c>
      <c r="F529" s="0" t="n">
        <v>27</v>
      </c>
      <c r="G529" s="5" t="n">
        <v>354.15</v>
      </c>
      <c r="H529" s="6" t="n">
        <v>0.15</v>
      </c>
      <c r="I529" s="5" t="n">
        <f aca="false">F529*G529*(1-H529)</f>
        <v>8127.7425</v>
      </c>
      <c r="J529" s="4" t="s">
        <v>18</v>
      </c>
      <c r="K529" s="5" t="n">
        <f aca="false">VLOOKUP(D529,Products!$A$2:$E$26,4,FALSE())</f>
        <v>144.3</v>
      </c>
      <c r="L529" s="6" t="n">
        <f aca="false">(I529-F529*K529)/I529</f>
        <v>0.520641801828737</v>
      </c>
    </row>
    <row r="530" customFormat="false" ht="15" hidden="false" customHeight="false" outlineLevel="0" collapsed="false">
      <c r="A530" s="0" t="n">
        <v>10526</v>
      </c>
      <c r="B530" s="3" t="n">
        <v>45447</v>
      </c>
      <c r="C530" s="0" t="n">
        <v>33</v>
      </c>
      <c r="D530" s="4" t="s">
        <v>33</v>
      </c>
      <c r="E530" s="4" t="s">
        <v>21</v>
      </c>
      <c r="F530" s="0" t="n">
        <v>38</v>
      </c>
      <c r="G530" s="5" t="n">
        <v>42.1</v>
      </c>
      <c r="H530" s="6" t="n">
        <v>0</v>
      </c>
      <c r="I530" s="5" t="n">
        <f aca="false">F530*G530*(1-H530)</f>
        <v>1599.8</v>
      </c>
      <c r="J530" s="4" t="s">
        <v>15</v>
      </c>
      <c r="K530" s="5" t="n">
        <f aca="false">VLOOKUP(D530,Products!$A$2:$E$26,4,FALSE())</f>
        <v>28.4</v>
      </c>
      <c r="L530" s="6" t="n">
        <f aca="false">(I530-F530*K530)/I530</f>
        <v>0.32541567695962</v>
      </c>
    </row>
    <row r="531" customFormat="false" ht="15" hidden="false" customHeight="false" outlineLevel="0" collapsed="false">
      <c r="A531" s="0" t="n">
        <v>10527</v>
      </c>
      <c r="B531" s="3" t="n">
        <v>45385</v>
      </c>
      <c r="C531" s="0" t="n">
        <v>25</v>
      </c>
      <c r="D531" s="4" t="s">
        <v>23</v>
      </c>
      <c r="E531" s="4" t="s">
        <v>21</v>
      </c>
      <c r="F531" s="0" t="n">
        <v>28</v>
      </c>
      <c r="G531" s="5" t="n">
        <v>128.4</v>
      </c>
      <c r="H531" s="6" t="n">
        <v>0</v>
      </c>
      <c r="I531" s="5" t="n">
        <f aca="false">F531*G531*(1-H531)</f>
        <v>3595.2</v>
      </c>
      <c r="J531" s="4" t="s">
        <v>18</v>
      </c>
      <c r="K531" s="5" t="n">
        <f aca="false">VLOOKUP(D531,Products!$A$2:$E$26,4,FALSE())</f>
        <v>75.38</v>
      </c>
      <c r="L531" s="6" t="n">
        <f aca="false">(I531-F531*K531)/I531</f>
        <v>0.412928348909657</v>
      </c>
    </row>
    <row r="532" customFormat="false" ht="15" hidden="false" customHeight="false" outlineLevel="0" collapsed="false">
      <c r="A532" s="0" t="n">
        <v>10528</v>
      </c>
      <c r="B532" s="3" t="n">
        <v>45594</v>
      </c>
      <c r="C532" s="0" t="n">
        <v>49</v>
      </c>
      <c r="D532" s="4" t="s">
        <v>26</v>
      </c>
      <c r="E532" s="4" t="s">
        <v>20</v>
      </c>
      <c r="F532" s="0" t="n">
        <v>14</v>
      </c>
      <c r="G532" s="5" t="n">
        <v>51.37</v>
      </c>
      <c r="H532" s="6" t="n">
        <v>0.05</v>
      </c>
      <c r="I532" s="5" t="n">
        <f aca="false">F532*G532*(1-H532)</f>
        <v>683.221</v>
      </c>
      <c r="J532" s="4" t="s">
        <v>28</v>
      </c>
      <c r="K532" s="5" t="n">
        <f aca="false">VLOOKUP(D532,Products!$A$2:$E$26,4,FALSE())</f>
        <v>22.68</v>
      </c>
      <c r="L532" s="6" t="n">
        <f aca="false">(I532-F532*K532)/I532</f>
        <v>0.53526018667459</v>
      </c>
    </row>
    <row r="533" customFormat="false" ht="15" hidden="false" customHeight="false" outlineLevel="0" collapsed="false">
      <c r="A533" s="0" t="n">
        <v>10529</v>
      </c>
      <c r="B533" s="3" t="n">
        <v>45354</v>
      </c>
      <c r="C533" s="0" t="n">
        <v>55</v>
      </c>
      <c r="D533" s="4" t="s">
        <v>42</v>
      </c>
      <c r="E533" s="4" t="s">
        <v>20</v>
      </c>
      <c r="F533" s="0" t="n">
        <v>1</v>
      </c>
      <c r="G533" s="5" t="n">
        <v>74.93</v>
      </c>
      <c r="H533" s="6" t="n">
        <v>0</v>
      </c>
      <c r="I533" s="5" t="n">
        <f aca="false">F533*G533*(1-H533)</f>
        <v>74.93</v>
      </c>
      <c r="J533" s="4" t="s">
        <v>28</v>
      </c>
      <c r="K533" s="5" t="n">
        <f aca="false">VLOOKUP(D533,Products!$A$2:$E$26,4,FALSE())</f>
        <v>47.32</v>
      </c>
      <c r="L533" s="6" t="n">
        <f aca="false">(I533-F533*K533)/I533</f>
        <v>0.368477245429067</v>
      </c>
    </row>
    <row r="534" customFormat="false" ht="15" hidden="false" customHeight="false" outlineLevel="0" collapsed="false">
      <c r="A534" s="0" t="n">
        <v>10530</v>
      </c>
      <c r="B534" s="3" t="n">
        <v>45319</v>
      </c>
      <c r="C534" s="0" t="n">
        <v>58</v>
      </c>
      <c r="D534" s="4" t="s">
        <v>13</v>
      </c>
      <c r="E534" s="4" t="s">
        <v>21</v>
      </c>
      <c r="F534" s="0" t="n">
        <v>22</v>
      </c>
      <c r="G534" s="5" t="n">
        <v>97.08</v>
      </c>
      <c r="H534" s="6" t="n">
        <v>0</v>
      </c>
      <c r="I534" s="5" t="n">
        <f aca="false">F534*G534*(1-H534)</f>
        <v>2135.76</v>
      </c>
      <c r="J534" s="4" t="s">
        <v>15</v>
      </c>
      <c r="K534" s="5" t="n">
        <f aca="false">VLOOKUP(D534,Products!$A$2:$E$26,4,FALSE())</f>
        <v>39.86</v>
      </c>
      <c r="L534" s="6" t="n">
        <f aca="false">(I534-F534*K534)/I534</f>
        <v>0.589410795220437</v>
      </c>
    </row>
    <row r="535" customFormat="false" ht="15" hidden="false" customHeight="false" outlineLevel="0" collapsed="false">
      <c r="A535" s="0" t="n">
        <v>10531</v>
      </c>
      <c r="B535" s="3" t="n">
        <v>45458</v>
      </c>
      <c r="C535" s="0" t="n">
        <v>74</v>
      </c>
      <c r="D535" s="4" t="s">
        <v>36</v>
      </c>
      <c r="E535" s="4" t="s">
        <v>14</v>
      </c>
      <c r="F535" s="0" t="n">
        <v>12</v>
      </c>
      <c r="G535" s="5" t="n">
        <v>49.2</v>
      </c>
      <c r="H535" s="6" t="n">
        <v>0</v>
      </c>
      <c r="I535" s="5" t="n">
        <f aca="false">F535*G535*(1-H535)</f>
        <v>590.4</v>
      </c>
      <c r="J535" s="4" t="s">
        <v>15</v>
      </c>
      <c r="K535" s="5" t="n">
        <f aca="false">VLOOKUP(D535,Products!$A$2:$E$26,4,FALSE())</f>
        <v>23.74</v>
      </c>
      <c r="L535" s="6" t="n">
        <f aca="false">(I535-F535*K535)/I535</f>
        <v>0.517479674796748</v>
      </c>
    </row>
    <row r="536" customFormat="false" ht="15" hidden="false" customHeight="false" outlineLevel="0" collapsed="false">
      <c r="A536" s="0" t="n">
        <v>10532</v>
      </c>
      <c r="B536" s="3" t="n">
        <v>45328</v>
      </c>
      <c r="C536" s="0" t="n">
        <v>41</v>
      </c>
      <c r="D536" s="4" t="s">
        <v>34</v>
      </c>
      <c r="E536" s="4" t="s">
        <v>20</v>
      </c>
      <c r="F536" s="0" t="n">
        <v>8</v>
      </c>
      <c r="G536" s="5" t="n">
        <v>20.84</v>
      </c>
      <c r="H536" s="6" t="n">
        <v>0.15</v>
      </c>
      <c r="I536" s="5" t="n">
        <f aca="false">F536*G536*(1-H536)</f>
        <v>141.712</v>
      </c>
      <c r="J536" s="4" t="s">
        <v>15</v>
      </c>
      <c r="K536" s="5" t="n">
        <f aca="false">VLOOKUP(D536,Products!$A$2:$E$26,4,FALSE())</f>
        <v>14.34</v>
      </c>
      <c r="L536" s="6" t="n">
        <f aca="false">(I536-F536*K536)/I536</f>
        <v>0.190470814045388</v>
      </c>
    </row>
    <row r="537" customFormat="false" ht="15" hidden="false" customHeight="false" outlineLevel="0" collapsed="false">
      <c r="A537" s="0" t="n">
        <v>10533</v>
      </c>
      <c r="B537" s="3" t="n">
        <v>45434</v>
      </c>
      <c r="C537" s="0" t="n">
        <v>23</v>
      </c>
      <c r="D537" s="4" t="s">
        <v>36</v>
      </c>
      <c r="E537" s="4" t="s">
        <v>14</v>
      </c>
      <c r="F537" s="0" t="n">
        <v>33</v>
      </c>
      <c r="G537" s="5" t="n">
        <v>53.83</v>
      </c>
      <c r="H537" s="6" t="n">
        <v>0.1</v>
      </c>
      <c r="I537" s="5" t="n">
        <f aca="false">F537*G537*(1-H537)</f>
        <v>1598.751</v>
      </c>
      <c r="J537" s="4" t="s">
        <v>28</v>
      </c>
      <c r="K537" s="5" t="n">
        <f aca="false">VLOOKUP(D537,Products!$A$2:$E$26,4,FALSE())</f>
        <v>23.74</v>
      </c>
      <c r="L537" s="6" t="n">
        <f aca="false">(I537-F537*K537)/I537</f>
        <v>0.50997997812042</v>
      </c>
    </row>
    <row r="538" customFormat="false" ht="15" hidden="false" customHeight="false" outlineLevel="0" collapsed="false">
      <c r="A538" s="0" t="n">
        <v>10534</v>
      </c>
      <c r="B538" s="3" t="n">
        <v>45599</v>
      </c>
      <c r="C538" s="0" t="n">
        <v>66</v>
      </c>
      <c r="D538" s="4" t="s">
        <v>35</v>
      </c>
      <c r="E538" s="4" t="s">
        <v>24</v>
      </c>
      <c r="F538" s="0" t="n">
        <v>38</v>
      </c>
      <c r="G538" s="5" t="n">
        <v>391.49</v>
      </c>
      <c r="H538" s="6" t="n">
        <v>0.1</v>
      </c>
      <c r="I538" s="5" t="n">
        <f aca="false">F538*G538*(1-H538)</f>
        <v>13388.958</v>
      </c>
      <c r="J538" s="4" t="s">
        <v>15</v>
      </c>
      <c r="K538" s="5" t="n">
        <f aca="false">VLOOKUP(D538,Products!$A$2:$E$26,4,FALSE())</f>
        <v>244.6</v>
      </c>
      <c r="L538" s="6" t="n">
        <f aca="false">(I538-F538*K538)/I538</f>
        <v>0.305786156024987</v>
      </c>
    </row>
    <row r="539" customFormat="false" ht="15" hidden="false" customHeight="false" outlineLevel="0" collapsed="false">
      <c r="A539" s="0" t="n">
        <v>10535</v>
      </c>
      <c r="B539" s="3" t="n">
        <v>45505</v>
      </c>
      <c r="C539" s="0" t="n">
        <v>51</v>
      </c>
      <c r="D539" s="4" t="s">
        <v>23</v>
      </c>
      <c r="E539" s="4" t="s">
        <v>20</v>
      </c>
      <c r="F539" s="0" t="n">
        <v>9</v>
      </c>
      <c r="G539" s="5" t="n">
        <v>123.87</v>
      </c>
      <c r="H539" s="6" t="n">
        <v>0</v>
      </c>
      <c r="I539" s="5" t="n">
        <f aca="false">F539*G539*(1-H539)</f>
        <v>1114.83</v>
      </c>
      <c r="J539" s="4" t="s">
        <v>15</v>
      </c>
      <c r="K539" s="5" t="n">
        <f aca="false">VLOOKUP(D539,Products!$A$2:$E$26,4,FALSE())</f>
        <v>75.38</v>
      </c>
      <c r="L539" s="6" t="n">
        <f aca="false">(I539-F539*K539)/I539</f>
        <v>0.391458787438444</v>
      </c>
    </row>
    <row r="540" customFormat="false" ht="15" hidden="false" customHeight="false" outlineLevel="0" collapsed="false">
      <c r="A540" s="0" t="n">
        <v>10536</v>
      </c>
      <c r="B540" s="3" t="n">
        <v>45548</v>
      </c>
      <c r="C540" s="0" t="n">
        <v>16</v>
      </c>
      <c r="D540" s="4" t="s">
        <v>32</v>
      </c>
      <c r="E540" s="4" t="s">
        <v>24</v>
      </c>
      <c r="F540" s="0" t="n">
        <v>40</v>
      </c>
      <c r="G540" s="5" t="n">
        <v>345.03</v>
      </c>
      <c r="H540" s="6" t="n">
        <v>0</v>
      </c>
      <c r="I540" s="5" t="n">
        <f aca="false">F540*G540*(1-H540)</f>
        <v>13801.2</v>
      </c>
      <c r="J540" s="4" t="s">
        <v>15</v>
      </c>
      <c r="K540" s="5" t="n">
        <f aca="false">VLOOKUP(D540,Products!$A$2:$E$26,4,FALSE())</f>
        <v>144.3</v>
      </c>
      <c r="L540" s="6" t="n">
        <f aca="false">(I540-F540*K540)/I540</f>
        <v>0.581775497782802</v>
      </c>
    </row>
    <row r="541" customFormat="false" ht="15" hidden="false" customHeight="false" outlineLevel="0" collapsed="false">
      <c r="A541" s="0" t="n">
        <v>10537</v>
      </c>
      <c r="B541" s="3" t="n">
        <v>45419</v>
      </c>
      <c r="C541" s="0" t="n">
        <v>51</v>
      </c>
      <c r="D541" s="4" t="s">
        <v>46</v>
      </c>
      <c r="E541" s="4" t="s">
        <v>24</v>
      </c>
      <c r="F541" s="0" t="n">
        <v>5</v>
      </c>
      <c r="G541" s="5" t="n">
        <v>310.76</v>
      </c>
      <c r="H541" s="6" t="n">
        <v>0.15</v>
      </c>
      <c r="I541" s="5" t="n">
        <f aca="false">F541*G541*(1-H541)</f>
        <v>1320.73</v>
      </c>
      <c r="J541" s="4" t="s">
        <v>15</v>
      </c>
      <c r="K541" s="5" t="n">
        <f aca="false">VLOOKUP(D541,Products!$A$2:$E$26,4,FALSE())</f>
        <v>219.79</v>
      </c>
      <c r="L541" s="6" t="n">
        <f aca="false">(I541-F541*K541)/I541</f>
        <v>0.16792228540277</v>
      </c>
    </row>
    <row r="542" customFormat="false" ht="15" hidden="false" customHeight="false" outlineLevel="0" collapsed="false">
      <c r="A542" s="0" t="n">
        <v>10538</v>
      </c>
      <c r="B542" s="3" t="n">
        <v>45436</v>
      </c>
      <c r="C542" s="0" t="n">
        <v>49</v>
      </c>
      <c r="D542" s="4" t="s">
        <v>31</v>
      </c>
      <c r="E542" s="4" t="s">
        <v>21</v>
      </c>
      <c r="F542" s="0" t="n">
        <v>29</v>
      </c>
      <c r="G542" s="5" t="n">
        <v>43.42</v>
      </c>
      <c r="H542" s="6" t="n">
        <v>0.1</v>
      </c>
      <c r="I542" s="5" t="n">
        <f aca="false">F542*G542*(1-H542)</f>
        <v>1133.262</v>
      </c>
      <c r="J542" s="4" t="s">
        <v>15</v>
      </c>
      <c r="K542" s="5" t="n">
        <f aca="false">VLOOKUP(D542,Products!$A$2:$E$26,4,FALSE())</f>
        <v>23.25</v>
      </c>
      <c r="L542" s="6" t="n">
        <f aca="false">(I542-F542*K542)/I542</f>
        <v>0.405036081682788</v>
      </c>
    </row>
    <row r="543" customFormat="false" ht="15" hidden="false" customHeight="false" outlineLevel="0" collapsed="false">
      <c r="A543" s="0" t="n">
        <v>10539</v>
      </c>
      <c r="B543" s="3" t="n">
        <v>45416</v>
      </c>
      <c r="C543" s="0" t="n">
        <v>55</v>
      </c>
      <c r="D543" s="4" t="s">
        <v>34</v>
      </c>
      <c r="E543" s="4" t="s">
        <v>14</v>
      </c>
      <c r="F543" s="0" t="n">
        <v>1</v>
      </c>
      <c r="G543" s="5" t="n">
        <v>22.67</v>
      </c>
      <c r="H543" s="6" t="n">
        <v>0</v>
      </c>
      <c r="I543" s="5" t="n">
        <f aca="false">F543*G543*(1-H543)</f>
        <v>22.67</v>
      </c>
      <c r="J543" s="4" t="s">
        <v>15</v>
      </c>
      <c r="K543" s="5" t="n">
        <f aca="false">VLOOKUP(D543,Products!$A$2:$E$26,4,FALSE())</f>
        <v>14.34</v>
      </c>
      <c r="L543" s="6" t="n">
        <f aca="false">(I543-F543*K543)/I543</f>
        <v>0.367445963828849</v>
      </c>
    </row>
    <row r="544" customFormat="false" ht="15" hidden="false" customHeight="false" outlineLevel="0" collapsed="false">
      <c r="A544" s="0" t="n">
        <v>10540</v>
      </c>
      <c r="B544" s="3" t="n">
        <v>45340</v>
      </c>
      <c r="C544" s="0" t="n">
        <v>77</v>
      </c>
      <c r="D544" s="4" t="s">
        <v>26</v>
      </c>
      <c r="E544" s="4" t="s">
        <v>20</v>
      </c>
      <c r="F544" s="0" t="n">
        <v>33</v>
      </c>
      <c r="G544" s="5" t="n">
        <v>52.4</v>
      </c>
      <c r="H544" s="6" t="n">
        <v>0</v>
      </c>
      <c r="I544" s="5" t="n">
        <f aca="false">F544*G544*(1-H544)</f>
        <v>1729.2</v>
      </c>
      <c r="J544" s="4" t="s">
        <v>15</v>
      </c>
      <c r="K544" s="5" t="n">
        <f aca="false">VLOOKUP(D544,Products!$A$2:$E$26,4,FALSE())</f>
        <v>22.68</v>
      </c>
      <c r="L544" s="6" t="n">
        <f aca="false">(I544-F544*K544)/I544</f>
        <v>0.567175572519084</v>
      </c>
    </row>
    <row r="545" customFormat="false" ht="15" hidden="false" customHeight="false" outlineLevel="0" collapsed="false">
      <c r="A545" s="0" t="n">
        <v>10541</v>
      </c>
      <c r="B545" s="3" t="n">
        <v>45598</v>
      </c>
      <c r="C545" s="0" t="n">
        <v>68</v>
      </c>
      <c r="D545" s="4" t="s">
        <v>31</v>
      </c>
      <c r="E545" s="4" t="s">
        <v>20</v>
      </c>
      <c r="F545" s="0" t="n">
        <v>29</v>
      </c>
      <c r="G545" s="5" t="n">
        <v>41.63</v>
      </c>
      <c r="H545" s="6" t="n">
        <v>0</v>
      </c>
      <c r="I545" s="5" t="n">
        <f aca="false">F545*G545*(1-H545)</f>
        <v>1207.27</v>
      </c>
      <c r="J545" s="4" t="s">
        <v>15</v>
      </c>
      <c r="K545" s="5" t="n">
        <f aca="false">VLOOKUP(D545,Products!$A$2:$E$26,4,FALSE())</f>
        <v>23.25</v>
      </c>
      <c r="L545" s="6" t="n">
        <f aca="false">(I545-F545*K545)/I545</f>
        <v>0.441508527504204</v>
      </c>
    </row>
    <row r="546" customFormat="false" ht="15" hidden="false" customHeight="false" outlineLevel="0" collapsed="false">
      <c r="A546" s="0" t="n">
        <v>10542</v>
      </c>
      <c r="B546" s="3" t="n">
        <v>45549</v>
      </c>
      <c r="C546" s="0" t="n">
        <v>65</v>
      </c>
      <c r="D546" s="4" t="s">
        <v>38</v>
      </c>
      <c r="E546" s="4" t="s">
        <v>14</v>
      </c>
      <c r="F546" s="0" t="n">
        <v>39</v>
      </c>
      <c r="G546" s="5" t="n">
        <v>165.61</v>
      </c>
      <c r="H546" s="6" t="n">
        <v>0.1</v>
      </c>
      <c r="I546" s="5" t="n">
        <f aca="false">F546*G546*(1-H546)</f>
        <v>5812.911</v>
      </c>
      <c r="J546" s="4" t="s">
        <v>18</v>
      </c>
      <c r="K546" s="5" t="n">
        <f aca="false">VLOOKUP(D546,Products!$A$2:$E$26,4,FALSE())</f>
        <v>107.25</v>
      </c>
      <c r="L546" s="6" t="n">
        <f aca="false">(I546-F546*K546)/I546</f>
        <v>0.280437976772739</v>
      </c>
    </row>
    <row r="547" customFormat="false" ht="15" hidden="false" customHeight="false" outlineLevel="0" collapsed="false">
      <c r="A547" s="0" t="n">
        <v>10543</v>
      </c>
      <c r="B547" s="3" t="n">
        <v>45417</v>
      </c>
      <c r="C547" s="0" t="n">
        <v>5</v>
      </c>
      <c r="D547" s="4" t="s">
        <v>26</v>
      </c>
      <c r="E547" s="4" t="s">
        <v>21</v>
      </c>
      <c r="F547" s="0" t="n">
        <v>30</v>
      </c>
      <c r="G547" s="5" t="n">
        <v>53.41</v>
      </c>
      <c r="H547" s="6" t="n">
        <v>0</v>
      </c>
      <c r="I547" s="5" t="n">
        <f aca="false">F547*G547*(1-H547)</f>
        <v>1602.3</v>
      </c>
      <c r="J547" s="4" t="s">
        <v>15</v>
      </c>
      <c r="K547" s="5" t="n">
        <f aca="false">VLOOKUP(D547,Products!$A$2:$E$26,4,FALSE())</f>
        <v>22.68</v>
      </c>
      <c r="L547" s="6" t="n">
        <f aca="false">(I547-F547*K547)/I547</f>
        <v>0.575360419397117</v>
      </c>
    </row>
    <row r="548" customFormat="false" ht="15" hidden="false" customHeight="false" outlineLevel="0" collapsed="false">
      <c r="A548" s="0" t="n">
        <v>10544</v>
      </c>
      <c r="B548" s="3" t="n">
        <v>45414</v>
      </c>
      <c r="C548" s="0" t="n">
        <v>14</v>
      </c>
      <c r="D548" s="4" t="s">
        <v>36</v>
      </c>
      <c r="E548" s="4" t="s">
        <v>24</v>
      </c>
      <c r="F548" s="0" t="n">
        <v>6</v>
      </c>
      <c r="G548" s="5" t="n">
        <v>53.61</v>
      </c>
      <c r="H548" s="6" t="n">
        <v>0.1</v>
      </c>
      <c r="I548" s="5" t="n">
        <f aca="false">F548*G548*(1-H548)</f>
        <v>289.494</v>
      </c>
      <c r="J548" s="4" t="s">
        <v>28</v>
      </c>
      <c r="K548" s="5" t="n">
        <f aca="false">VLOOKUP(D548,Products!$A$2:$E$26,4,FALSE())</f>
        <v>23.74</v>
      </c>
      <c r="L548" s="6" t="n">
        <f aca="false">(I548-F548*K548)/I548</f>
        <v>0.507969077079318</v>
      </c>
    </row>
    <row r="549" customFormat="false" ht="15" hidden="false" customHeight="false" outlineLevel="0" collapsed="false">
      <c r="A549" s="0" t="n">
        <v>10545</v>
      </c>
      <c r="B549" s="3" t="n">
        <v>45557</v>
      </c>
      <c r="C549" s="0" t="n">
        <v>34</v>
      </c>
      <c r="D549" s="4" t="s">
        <v>36</v>
      </c>
      <c r="E549" s="4" t="s">
        <v>14</v>
      </c>
      <c r="F549" s="0" t="n">
        <v>16</v>
      </c>
      <c r="G549" s="5" t="n">
        <v>52.04</v>
      </c>
      <c r="H549" s="6" t="n">
        <v>0.1</v>
      </c>
      <c r="I549" s="5" t="n">
        <f aca="false">F549*G549*(1-H549)</f>
        <v>749.376</v>
      </c>
      <c r="J549" s="4" t="s">
        <v>15</v>
      </c>
      <c r="K549" s="5" t="n">
        <f aca="false">VLOOKUP(D549,Products!$A$2:$E$26,4,FALSE())</f>
        <v>23.74</v>
      </c>
      <c r="L549" s="6" t="n">
        <f aca="false">(I549-F549*K549)/I549</f>
        <v>0.493124946622256</v>
      </c>
    </row>
    <row r="550" customFormat="false" ht="15" hidden="false" customHeight="false" outlineLevel="0" collapsed="false">
      <c r="A550" s="0" t="n">
        <v>10546</v>
      </c>
      <c r="B550" s="3" t="n">
        <v>45360</v>
      </c>
      <c r="C550" s="0" t="n">
        <v>67</v>
      </c>
      <c r="D550" s="4" t="s">
        <v>42</v>
      </c>
      <c r="E550" s="4" t="s">
        <v>14</v>
      </c>
      <c r="F550" s="0" t="n">
        <v>16</v>
      </c>
      <c r="G550" s="5" t="n">
        <v>75.71</v>
      </c>
      <c r="H550" s="6" t="n">
        <v>0</v>
      </c>
      <c r="I550" s="5" t="n">
        <f aca="false">F550*G550*(1-H550)</f>
        <v>1211.36</v>
      </c>
      <c r="J550" s="4" t="s">
        <v>15</v>
      </c>
      <c r="K550" s="5" t="n">
        <f aca="false">VLOOKUP(D550,Products!$A$2:$E$26,4,FALSE())</f>
        <v>47.32</v>
      </c>
      <c r="L550" s="6" t="n">
        <f aca="false">(I550-F550*K550)/I550</f>
        <v>0.374983489631489</v>
      </c>
    </row>
    <row r="551" customFormat="false" ht="15" hidden="false" customHeight="false" outlineLevel="0" collapsed="false">
      <c r="A551" s="0" t="n">
        <v>10547</v>
      </c>
      <c r="B551" s="3" t="n">
        <v>45341</v>
      </c>
      <c r="C551" s="0" t="n">
        <v>26</v>
      </c>
      <c r="D551" s="4" t="s">
        <v>43</v>
      </c>
      <c r="E551" s="4" t="s">
        <v>14</v>
      </c>
      <c r="F551" s="0" t="n">
        <v>16</v>
      </c>
      <c r="G551" s="5" t="n">
        <v>215.35</v>
      </c>
      <c r="H551" s="6" t="n">
        <v>0</v>
      </c>
      <c r="I551" s="5" t="n">
        <f aca="false">F551*G551*(1-H551)</f>
        <v>3445.6</v>
      </c>
      <c r="J551" s="4" t="s">
        <v>15</v>
      </c>
      <c r="K551" s="5" t="n">
        <f aca="false">VLOOKUP(D551,Products!$A$2:$E$26,4,FALSE())</f>
        <v>126.91</v>
      </c>
      <c r="L551" s="6" t="n">
        <f aca="false">(I551-F551*K551)/I551</f>
        <v>0.410680287903413</v>
      </c>
    </row>
    <row r="552" customFormat="false" ht="15" hidden="false" customHeight="false" outlineLevel="0" collapsed="false">
      <c r="A552" s="0" t="n">
        <v>10548</v>
      </c>
      <c r="B552" s="3" t="n">
        <v>45473</v>
      </c>
      <c r="C552" s="0" t="n">
        <v>72</v>
      </c>
      <c r="D552" s="4" t="s">
        <v>38</v>
      </c>
      <c r="E552" s="4" t="s">
        <v>14</v>
      </c>
      <c r="F552" s="0" t="n">
        <v>35</v>
      </c>
      <c r="G552" s="5" t="n">
        <v>177.36</v>
      </c>
      <c r="H552" s="6" t="n">
        <v>0</v>
      </c>
      <c r="I552" s="5" t="n">
        <f aca="false">F552*G552*(1-H552)</f>
        <v>6207.6</v>
      </c>
      <c r="J552" s="4" t="s">
        <v>15</v>
      </c>
      <c r="K552" s="5" t="n">
        <f aca="false">VLOOKUP(D552,Products!$A$2:$E$26,4,FALSE())</f>
        <v>107.25</v>
      </c>
      <c r="L552" s="6" t="n">
        <f aca="false">(I552-F552*K552)/I552</f>
        <v>0.395297699594046</v>
      </c>
    </row>
    <row r="553" customFormat="false" ht="15" hidden="false" customHeight="false" outlineLevel="0" collapsed="false">
      <c r="A553" s="0" t="n">
        <v>10549</v>
      </c>
      <c r="B553" s="3" t="n">
        <v>45474</v>
      </c>
      <c r="C553" s="0" t="n">
        <v>5</v>
      </c>
      <c r="D553" s="4" t="s">
        <v>34</v>
      </c>
      <c r="E553" s="4" t="s">
        <v>21</v>
      </c>
      <c r="F553" s="0" t="n">
        <v>14</v>
      </c>
      <c r="G553" s="5" t="n">
        <v>22.7</v>
      </c>
      <c r="H553" s="6" t="n">
        <v>0.1</v>
      </c>
      <c r="I553" s="5" t="n">
        <f aca="false">F553*G553*(1-H553)</f>
        <v>286.02</v>
      </c>
      <c r="J553" s="4" t="s">
        <v>15</v>
      </c>
      <c r="K553" s="5" t="n">
        <f aca="false">VLOOKUP(D553,Products!$A$2:$E$26,4,FALSE())</f>
        <v>14.34</v>
      </c>
      <c r="L553" s="6" t="n">
        <f aca="false">(I553-F553*K553)/I553</f>
        <v>0.298091042584435</v>
      </c>
    </row>
    <row r="554" customFormat="false" ht="15" hidden="false" customHeight="false" outlineLevel="0" collapsed="false">
      <c r="A554" s="0" t="n">
        <v>10550</v>
      </c>
      <c r="B554" s="3" t="n">
        <v>45478</v>
      </c>
      <c r="C554" s="0" t="n">
        <v>37</v>
      </c>
      <c r="D554" s="4" t="s">
        <v>32</v>
      </c>
      <c r="E554" s="4" t="s">
        <v>14</v>
      </c>
      <c r="F554" s="0" t="n">
        <v>21</v>
      </c>
      <c r="G554" s="5" t="n">
        <v>345.24</v>
      </c>
      <c r="H554" s="6" t="n">
        <v>0</v>
      </c>
      <c r="I554" s="5" t="n">
        <f aca="false">F554*G554*(1-H554)</f>
        <v>7250.04</v>
      </c>
      <c r="J554" s="4" t="s">
        <v>15</v>
      </c>
      <c r="K554" s="5" t="n">
        <f aca="false">VLOOKUP(D554,Products!$A$2:$E$26,4,FALSE())</f>
        <v>144.3</v>
      </c>
      <c r="L554" s="6" t="n">
        <f aca="false">(I554-F554*K554)/I554</f>
        <v>0.58202989224887</v>
      </c>
    </row>
    <row r="555" customFormat="false" ht="15" hidden="false" customHeight="false" outlineLevel="0" collapsed="false">
      <c r="A555" s="0" t="n">
        <v>10551</v>
      </c>
      <c r="B555" s="3" t="n">
        <v>45363</v>
      </c>
      <c r="C555" s="0" t="n">
        <v>49</v>
      </c>
      <c r="D555" s="4" t="s">
        <v>32</v>
      </c>
      <c r="E555" s="4" t="s">
        <v>20</v>
      </c>
      <c r="F555" s="0" t="n">
        <v>19</v>
      </c>
      <c r="G555" s="5" t="n">
        <v>342.84</v>
      </c>
      <c r="H555" s="6" t="n">
        <v>0</v>
      </c>
      <c r="I555" s="5" t="n">
        <f aca="false">F555*G555*(1-H555)</f>
        <v>6513.96</v>
      </c>
      <c r="J555" s="4" t="s">
        <v>18</v>
      </c>
      <c r="K555" s="5" t="n">
        <f aca="false">VLOOKUP(D555,Products!$A$2:$E$26,4,FALSE())</f>
        <v>144.3</v>
      </c>
      <c r="L555" s="6" t="n">
        <f aca="false">(I555-F555*K555)/I555</f>
        <v>0.57910395519776</v>
      </c>
    </row>
    <row r="556" customFormat="false" ht="15" hidden="false" customHeight="false" outlineLevel="0" collapsed="false">
      <c r="A556" s="0" t="n">
        <v>10552</v>
      </c>
      <c r="B556" s="3" t="n">
        <v>45545</v>
      </c>
      <c r="C556" s="0" t="n">
        <v>49</v>
      </c>
      <c r="D556" s="4" t="s">
        <v>37</v>
      </c>
      <c r="E556" s="4" t="s">
        <v>20</v>
      </c>
      <c r="F556" s="0" t="n">
        <v>23</v>
      </c>
      <c r="G556" s="5" t="n">
        <v>8.06</v>
      </c>
      <c r="H556" s="6" t="n">
        <v>0.15</v>
      </c>
      <c r="I556" s="5" t="n">
        <f aca="false">F556*G556*(1-H556)</f>
        <v>157.573</v>
      </c>
      <c r="J556" s="4" t="s">
        <v>15</v>
      </c>
      <c r="K556" s="5" t="n">
        <f aca="false">VLOOKUP(D556,Products!$A$2:$E$26,4,FALSE())</f>
        <v>3.88</v>
      </c>
      <c r="L556" s="6" t="n">
        <f aca="false">(I556-F556*K556)/I556</f>
        <v>0.433659319807327</v>
      </c>
    </row>
    <row r="557" customFormat="false" ht="15" hidden="false" customHeight="false" outlineLevel="0" collapsed="false">
      <c r="A557" s="0" t="n">
        <v>10553</v>
      </c>
      <c r="B557" s="3" t="n">
        <v>45447</v>
      </c>
      <c r="C557" s="0" t="n">
        <v>71</v>
      </c>
      <c r="D557" s="4" t="s">
        <v>17</v>
      </c>
      <c r="E557" s="4" t="s">
        <v>24</v>
      </c>
      <c r="F557" s="0" t="n">
        <v>24</v>
      </c>
      <c r="G557" s="5" t="n">
        <v>90.87</v>
      </c>
      <c r="H557" s="6" t="n">
        <v>0.15</v>
      </c>
      <c r="I557" s="5" t="n">
        <f aca="false">F557*G557*(1-H557)</f>
        <v>1853.748</v>
      </c>
      <c r="J557" s="4" t="s">
        <v>18</v>
      </c>
      <c r="K557" s="5" t="n">
        <f aca="false">VLOOKUP(D557,Products!$A$2:$E$26,4,FALSE())</f>
        <v>38.24</v>
      </c>
      <c r="L557" s="6" t="n">
        <f aca="false">(I557-F557*K557)/I557</f>
        <v>0.50491652587083</v>
      </c>
    </row>
    <row r="558" customFormat="false" ht="15" hidden="false" customHeight="false" outlineLevel="0" collapsed="false">
      <c r="A558" s="0" t="n">
        <v>10554</v>
      </c>
      <c r="B558" s="3" t="n">
        <v>45571</v>
      </c>
      <c r="C558" s="0" t="n">
        <v>42</v>
      </c>
      <c r="D558" s="4" t="s">
        <v>41</v>
      </c>
      <c r="E558" s="4" t="s">
        <v>20</v>
      </c>
      <c r="F558" s="0" t="n">
        <v>11</v>
      </c>
      <c r="G558" s="5" t="n">
        <v>25.31</v>
      </c>
      <c r="H558" s="6" t="n">
        <v>0</v>
      </c>
      <c r="I558" s="5" t="n">
        <f aca="false">F558*G558*(1-H558)</f>
        <v>278.41</v>
      </c>
      <c r="J558" s="4" t="s">
        <v>18</v>
      </c>
      <c r="K558" s="5" t="n">
        <f aca="false">VLOOKUP(D558,Products!$A$2:$E$26,4,FALSE())</f>
        <v>12.46</v>
      </c>
      <c r="L558" s="6" t="n">
        <f aca="false">(I558-F558*K558)/I558</f>
        <v>0.507704464638483</v>
      </c>
    </row>
    <row r="559" customFormat="false" ht="15" hidden="false" customHeight="false" outlineLevel="0" collapsed="false">
      <c r="A559" s="0" t="n">
        <v>10555</v>
      </c>
      <c r="B559" s="3" t="n">
        <v>45606</v>
      </c>
      <c r="C559" s="0" t="n">
        <v>70</v>
      </c>
      <c r="D559" s="4" t="s">
        <v>29</v>
      </c>
      <c r="E559" s="4" t="s">
        <v>24</v>
      </c>
      <c r="F559" s="0" t="n">
        <v>17</v>
      </c>
      <c r="G559" s="5" t="n">
        <v>77.39</v>
      </c>
      <c r="H559" s="6" t="n">
        <v>0</v>
      </c>
      <c r="I559" s="5" t="n">
        <f aca="false">F559*G559*(1-H559)</f>
        <v>1315.63</v>
      </c>
      <c r="J559" s="4" t="s">
        <v>15</v>
      </c>
      <c r="K559" s="5" t="n">
        <f aca="false">VLOOKUP(D559,Products!$A$2:$E$26,4,FALSE())</f>
        <v>38.68</v>
      </c>
      <c r="L559" s="6" t="n">
        <f aca="false">(I559-F559*K559)/I559</f>
        <v>0.500193823491407</v>
      </c>
    </row>
    <row r="560" customFormat="false" ht="15" hidden="false" customHeight="false" outlineLevel="0" collapsed="false">
      <c r="A560" s="0" t="n">
        <v>10556</v>
      </c>
      <c r="B560" s="3" t="n">
        <v>45550</v>
      </c>
      <c r="C560" s="0" t="n">
        <v>41</v>
      </c>
      <c r="D560" s="4" t="s">
        <v>30</v>
      </c>
      <c r="E560" s="4" t="s">
        <v>24</v>
      </c>
      <c r="F560" s="0" t="n">
        <v>6</v>
      </c>
      <c r="G560" s="5" t="n">
        <v>223.43</v>
      </c>
      <c r="H560" s="6" t="n">
        <v>0.15</v>
      </c>
      <c r="I560" s="5" t="n">
        <f aca="false">F560*G560*(1-H560)</f>
        <v>1139.493</v>
      </c>
      <c r="J560" s="4" t="s">
        <v>15</v>
      </c>
      <c r="K560" s="5" t="n">
        <f aca="false">VLOOKUP(D560,Products!$A$2:$E$26,4,FALSE())</f>
        <v>97.8</v>
      </c>
      <c r="L560" s="6" t="n">
        <f aca="false">(I560-F560*K560)/I560</f>
        <v>0.485034133601523</v>
      </c>
    </row>
    <row r="561" customFormat="false" ht="15" hidden="false" customHeight="false" outlineLevel="0" collapsed="false">
      <c r="A561" s="0" t="n">
        <v>10557</v>
      </c>
      <c r="B561" s="3" t="n">
        <v>45492</v>
      </c>
      <c r="C561" s="0" t="n">
        <v>58</v>
      </c>
      <c r="D561" s="4" t="s">
        <v>30</v>
      </c>
      <c r="E561" s="4" t="s">
        <v>21</v>
      </c>
      <c r="F561" s="0" t="n">
        <v>5</v>
      </c>
      <c r="G561" s="5" t="n">
        <v>218.12</v>
      </c>
      <c r="H561" s="6" t="n">
        <v>0</v>
      </c>
      <c r="I561" s="5" t="n">
        <f aca="false">F561*G561*(1-H561)</f>
        <v>1090.6</v>
      </c>
      <c r="J561" s="4" t="s">
        <v>28</v>
      </c>
      <c r="K561" s="5" t="n">
        <f aca="false">VLOOKUP(D561,Products!$A$2:$E$26,4,FALSE())</f>
        <v>97.8</v>
      </c>
      <c r="L561" s="6" t="n">
        <f aca="false">(I561-F561*K561)/I561</f>
        <v>0.551622959838621</v>
      </c>
    </row>
    <row r="562" customFormat="false" ht="15" hidden="false" customHeight="false" outlineLevel="0" collapsed="false">
      <c r="A562" s="0" t="n">
        <v>10558</v>
      </c>
      <c r="B562" s="3" t="n">
        <v>45465</v>
      </c>
      <c r="C562" s="0" t="n">
        <v>9</v>
      </c>
      <c r="D562" s="4" t="s">
        <v>27</v>
      </c>
      <c r="E562" s="4" t="s">
        <v>21</v>
      </c>
      <c r="F562" s="0" t="n">
        <v>31</v>
      </c>
      <c r="G562" s="5" t="n">
        <v>112.02</v>
      </c>
      <c r="H562" s="6" t="n">
        <v>0.05</v>
      </c>
      <c r="I562" s="5" t="n">
        <f aca="false">F562*G562*(1-H562)</f>
        <v>3298.989</v>
      </c>
      <c r="J562" s="4" t="s">
        <v>15</v>
      </c>
      <c r="K562" s="5" t="n">
        <f aca="false">VLOOKUP(D562,Products!$A$2:$E$26,4,FALSE())</f>
        <v>45.07</v>
      </c>
      <c r="L562" s="6" t="n">
        <f aca="false">(I562-F562*K562)/I562</f>
        <v>0.576485402042868</v>
      </c>
    </row>
    <row r="563" customFormat="false" ht="15" hidden="false" customHeight="false" outlineLevel="0" collapsed="false">
      <c r="A563" s="0" t="n">
        <v>10559</v>
      </c>
      <c r="B563" s="3" t="n">
        <v>45510</v>
      </c>
      <c r="C563" s="0" t="n">
        <v>4</v>
      </c>
      <c r="D563" s="4" t="s">
        <v>33</v>
      </c>
      <c r="E563" s="4" t="s">
        <v>24</v>
      </c>
      <c r="F563" s="0" t="n">
        <v>34</v>
      </c>
      <c r="G563" s="5" t="n">
        <v>43.41</v>
      </c>
      <c r="H563" s="6" t="n">
        <v>0</v>
      </c>
      <c r="I563" s="5" t="n">
        <f aca="false">F563*G563*(1-H563)</f>
        <v>1475.94</v>
      </c>
      <c r="J563" s="4" t="s">
        <v>18</v>
      </c>
      <c r="K563" s="5" t="n">
        <f aca="false">VLOOKUP(D563,Products!$A$2:$E$26,4,FALSE())</f>
        <v>28.4</v>
      </c>
      <c r="L563" s="6" t="n">
        <f aca="false">(I563-F563*K563)/I563</f>
        <v>0.345772863395531</v>
      </c>
    </row>
    <row r="564" customFormat="false" ht="15" hidden="false" customHeight="false" outlineLevel="0" collapsed="false">
      <c r="A564" s="0" t="n">
        <v>10560</v>
      </c>
      <c r="B564" s="3" t="n">
        <v>45652</v>
      </c>
      <c r="C564" s="0" t="n">
        <v>3</v>
      </c>
      <c r="D564" s="4" t="s">
        <v>35</v>
      </c>
      <c r="E564" s="4" t="s">
        <v>24</v>
      </c>
      <c r="F564" s="0" t="n">
        <v>5</v>
      </c>
      <c r="G564" s="5" t="n">
        <v>385.53</v>
      </c>
      <c r="H564" s="6" t="n">
        <v>0</v>
      </c>
      <c r="I564" s="5" t="n">
        <f aca="false">F564*G564*(1-H564)</f>
        <v>1927.65</v>
      </c>
      <c r="J564" s="4" t="s">
        <v>28</v>
      </c>
      <c r="K564" s="5" t="n">
        <f aca="false">VLOOKUP(D564,Products!$A$2:$E$26,4,FALSE())</f>
        <v>244.6</v>
      </c>
      <c r="L564" s="6" t="n">
        <f aca="false">(I564-F564*K564)/I564</f>
        <v>0.365548725131637</v>
      </c>
    </row>
    <row r="565" customFormat="false" ht="15" hidden="false" customHeight="false" outlineLevel="0" collapsed="false">
      <c r="A565" s="0" t="n">
        <v>10561</v>
      </c>
      <c r="B565" s="3" t="n">
        <v>45428</v>
      </c>
      <c r="C565" s="0" t="n">
        <v>29</v>
      </c>
      <c r="D565" s="4" t="s">
        <v>19</v>
      </c>
      <c r="E565" s="4" t="s">
        <v>21</v>
      </c>
      <c r="F565" s="0" t="n">
        <v>36</v>
      </c>
      <c r="G565" s="5" t="n">
        <v>219.48</v>
      </c>
      <c r="H565" s="6" t="n">
        <v>0.05</v>
      </c>
      <c r="I565" s="5" t="n">
        <f aca="false">F565*G565*(1-H565)</f>
        <v>7506.216</v>
      </c>
      <c r="J565" s="4" t="s">
        <v>15</v>
      </c>
      <c r="K565" s="5" t="n">
        <f aca="false">VLOOKUP(D565,Products!$A$2:$E$26,4,FALSE())</f>
        <v>83.93</v>
      </c>
      <c r="L565" s="6" t="n">
        <f aca="false">(I565-F565*K565)/I565</f>
        <v>0.59746961718128</v>
      </c>
    </row>
    <row r="566" customFormat="false" ht="15" hidden="false" customHeight="false" outlineLevel="0" collapsed="false">
      <c r="A566" s="0" t="n">
        <v>10562</v>
      </c>
      <c r="B566" s="3" t="n">
        <v>45321</v>
      </c>
      <c r="C566" s="0" t="n">
        <v>38</v>
      </c>
      <c r="D566" s="4" t="s">
        <v>41</v>
      </c>
      <c r="E566" s="4" t="s">
        <v>20</v>
      </c>
      <c r="F566" s="0" t="n">
        <v>18</v>
      </c>
      <c r="G566" s="5" t="n">
        <v>27.17</v>
      </c>
      <c r="H566" s="6" t="n">
        <v>0</v>
      </c>
      <c r="I566" s="5" t="n">
        <f aca="false">F566*G566*(1-H566)</f>
        <v>489.06</v>
      </c>
      <c r="J566" s="4" t="s">
        <v>15</v>
      </c>
      <c r="K566" s="5" t="n">
        <f aca="false">VLOOKUP(D566,Products!$A$2:$E$26,4,FALSE())</f>
        <v>12.46</v>
      </c>
      <c r="L566" s="6" t="n">
        <f aca="false">(I566-F566*K566)/I566</f>
        <v>0.541405962458594</v>
      </c>
    </row>
    <row r="567" customFormat="false" ht="15" hidden="false" customHeight="false" outlineLevel="0" collapsed="false">
      <c r="A567" s="0" t="n">
        <v>10563</v>
      </c>
      <c r="B567" s="3" t="n">
        <v>45447</v>
      </c>
      <c r="C567" s="0" t="n">
        <v>3</v>
      </c>
      <c r="D567" s="4" t="s">
        <v>41</v>
      </c>
      <c r="E567" s="4" t="s">
        <v>14</v>
      </c>
      <c r="F567" s="0" t="n">
        <v>14</v>
      </c>
      <c r="G567" s="5" t="n">
        <v>26.08</v>
      </c>
      <c r="H567" s="6" t="n">
        <v>0.1</v>
      </c>
      <c r="I567" s="5" t="n">
        <f aca="false">F567*G567*(1-H567)</f>
        <v>328.608</v>
      </c>
      <c r="J567" s="4" t="s">
        <v>15</v>
      </c>
      <c r="K567" s="5" t="n">
        <f aca="false">VLOOKUP(D567,Products!$A$2:$E$26,4,FALSE())</f>
        <v>12.46</v>
      </c>
      <c r="L567" s="6" t="n">
        <f aca="false">(I567-F567*K567)/I567</f>
        <v>0.469154737559646</v>
      </c>
    </row>
    <row r="568" customFormat="false" ht="15" hidden="false" customHeight="false" outlineLevel="0" collapsed="false">
      <c r="A568" s="0" t="n">
        <v>10564</v>
      </c>
      <c r="B568" s="3" t="n">
        <v>45344</v>
      </c>
      <c r="C568" s="0" t="n">
        <v>74</v>
      </c>
      <c r="D568" s="4" t="s">
        <v>36</v>
      </c>
      <c r="E568" s="4" t="s">
        <v>24</v>
      </c>
      <c r="F568" s="0" t="n">
        <v>40</v>
      </c>
      <c r="G568" s="5" t="n">
        <v>51.91</v>
      </c>
      <c r="H568" s="6" t="n">
        <v>0.1</v>
      </c>
      <c r="I568" s="5" t="n">
        <f aca="false">F568*G568*(1-H568)</f>
        <v>1868.76</v>
      </c>
      <c r="J568" s="4" t="s">
        <v>15</v>
      </c>
      <c r="K568" s="5" t="n">
        <f aca="false">VLOOKUP(D568,Products!$A$2:$E$26,4,FALSE())</f>
        <v>23.74</v>
      </c>
      <c r="L568" s="6" t="n">
        <f aca="false">(I568-F568*K568)/I568</f>
        <v>0.491855561976926</v>
      </c>
    </row>
    <row r="569" customFormat="false" ht="15" hidden="false" customHeight="false" outlineLevel="0" collapsed="false">
      <c r="A569" s="0" t="n">
        <v>10565</v>
      </c>
      <c r="B569" s="3" t="n">
        <v>45566</v>
      </c>
      <c r="C569" s="0" t="n">
        <v>54</v>
      </c>
      <c r="D569" s="4" t="s">
        <v>33</v>
      </c>
      <c r="E569" s="4" t="s">
        <v>24</v>
      </c>
      <c r="F569" s="0" t="n">
        <v>28</v>
      </c>
      <c r="G569" s="5" t="n">
        <v>42.04</v>
      </c>
      <c r="H569" s="6" t="n">
        <v>0.1</v>
      </c>
      <c r="I569" s="5" t="n">
        <f aca="false">F569*G569*(1-H569)</f>
        <v>1059.408</v>
      </c>
      <c r="J569" s="4" t="s">
        <v>18</v>
      </c>
      <c r="K569" s="5" t="n">
        <f aca="false">VLOOKUP(D569,Products!$A$2:$E$26,4,FALSE())</f>
        <v>28.4</v>
      </c>
      <c r="L569" s="6" t="n">
        <f aca="false">(I569-F569*K569)/I569</f>
        <v>0.249392113331219</v>
      </c>
    </row>
    <row r="570" customFormat="false" ht="15" hidden="false" customHeight="false" outlineLevel="0" collapsed="false">
      <c r="A570" s="0" t="n">
        <v>10566</v>
      </c>
      <c r="B570" s="3" t="n">
        <v>45539</v>
      </c>
      <c r="C570" s="0" t="n">
        <v>49</v>
      </c>
      <c r="D570" s="4" t="s">
        <v>25</v>
      </c>
      <c r="E570" s="4" t="s">
        <v>21</v>
      </c>
      <c r="F570" s="0" t="n">
        <v>8</v>
      </c>
      <c r="G570" s="5" t="n">
        <v>212.45</v>
      </c>
      <c r="H570" s="6" t="n">
        <v>0.05</v>
      </c>
      <c r="I570" s="5" t="n">
        <f aca="false">F570*G570*(1-H570)</f>
        <v>1614.62</v>
      </c>
      <c r="J570" s="4" t="s">
        <v>28</v>
      </c>
      <c r="K570" s="5" t="n">
        <f aca="false">VLOOKUP(D570,Products!$A$2:$E$26,4,FALSE())</f>
        <v>128.85</v>
      </c>
      <c r="L570" s="6" t="n">
        <f aca="false">(I570-F570*K570)/I570</f>
        <v>0.361583530490146</v>
      </c>
    </row>
    <row r="571" customFormat="false" ht="15" hidden="false" customHeight="false" outlineLevel="0" collapsed="false">
      <c r="A571" s="0" t="n">
        <v>10567</v>
      </c>
      <c r="B571" s="3" t="n">
        <v>45407</v>
      </c>
      <c r="C571" s="0" t="n">
        <v>10</v>
      </c>
      <c r="D571" s="4" t="s">
        <v>17</v>
      </c>
      <c r="E571" s="4" t="s">
        <v>24</v>
      </c>
      <c r="F571" s="0" t="n">
        <v>7</v>
      </c>
      <c r="G571" s="5" t="n">
        <v>86.51</v>
      </c>
      <c r="H571" s="6" t="n">
        <v>0.15</v>
      </c>
      <c r="I571" s="5" t="n">
        <f aca="false">F571*G571*(1-H571)</f>
        <v>514.7345</v>
      </c>
      <c r="J571" s="4" t="s">
        <v>15</v>
      </c>
      <c r="K571" s="5" t="n">
        <f aca="false">VLOOKUP(D571,Products!$A$2:$E$26,4,FALSE())</f>
        <v>38.24</v>
      </c>
      <c r="L571" s="6" t="n">
        <f aca="false">(I571-F571*K571)/I571</f>
        <v>0.479964913950784</v>
      </c>
    </row>
    <row r="572" customFormat="false" ht="15" hidden="false" customHeight="false" outlineLevel="0" collapsed="false">
      <c r="A572" s="0" t="n">
        <v>10568</v>
      </c>
      <c r="B572" s="3" t="n">
        <v>45566</v>
      </c>
      <c r="C572" s="0" t="n">
        <v>66</v>
      </c>
      <c r="D572" s="4" t="s">
        <v>44</v>
      </c>
      <c r="E572" s="4" t="s">
        <v>24</v>
      </c>
      <c r="F572" s="0" t="n">
        <v>35</v>
      </c>
      <c r="G572" s="5" t="n">
        <v>29.61</v>
      </c>
      <c r="H572" s="6" t="n">
        <v>0</v>
      </c>
      <c r="I572" s="5" t="n">
        <f aca="false">F572*G572*(1-H572)</f>
        <v>1036.35</v>
      </c>
      <c r="J572" s="4" t="s">
        <v>28</v>
      </c>
      <c r="K572" s="5" t="n">
        <f aca="false">VLOOKUP(D572,Products!$A$2:$E$26,4,FALSE())</f>
        <v>18.41</v>
      </c>
      <c r="L572" s="6" t="n">
        <f aca="false">(I572-F572*K572)/I572</f>
        <v>0.378250591016548</v>
      </c>
    </row>
    <row r="573" customFormat="false" ht="15" hidden="false" customHeight="false" outlineLevel="0" collapsed="false">
      <c r="A573" s="0" t="n">
        <v>10569</v>
      </c>
      <c r="B573" s="3" t="n">
        <v>45457</v>
      </c>
      <c r="C573" s="0" t="n">
        <v>24</v>
      </c>
      <c r="D573" s="4" t="s">
        <v>36</v>
      </c>
      <c r="E573" s="4" t="s">
        <v>21</v>
      </c>
      <c r="F573" s="0" t="n">
        <v>7</v>
      </c>
      <c r="G573" s="5" t="n">
        <v>53.9</v>
      </c>
      <c r="H573" s="6" t="n">
        <v>0.05</v>
      </c>
      <c r="I573" s="5" t="n">
        <f aca="false">F573*G573*(1-H573)</f>
        <v>358.435</v>
      </c>
      <c r="J573" s="4" t="s">
        <v>15</v>
      </c>
      <c r="K573" s="5" t="n">
        <f aca="false">VLOOKUP(D573,Products!$A$2:$E$26,4,FALSE())</f>
        <v>23.74</v>
      </c>
      <c r="L573" s="6" t="n">
        <f aca="false">(I573-F573*K573)/I573</f>
        <v>0.536373401035055</v>
      </c>
    </row>
    <row r="574" customFormat="false" ht="15" hidden="false" customHeight="false" outlineLevel="0" collapsed="false">
      <c r="A574" s="0" t="n">
        <v>10570</v>
      </c>
      <c r="B574" s="3" t="n">
        <v>45445</v>
      </c>
      <c r="C574" s="0" t="n">
        <v>36</v>
      </c>
      <c r="D574" s="4" t="s">
        <v>32</v>
      </c>
      <c r="E574" s="4" t="s">
        <v>20</v>
      </c>
      <c r="F574" s="0" t="n">
        <v>23</v>
      </c>
      <c r="G574" s="5" t="n">
        <v>345.3</v>
      </c>
      <c r="H574" s="6" t="n">
        <v>0</v>
      </c>
      <c r="I574" s="5" t="n">
        <f aca="false">F574*G574*(1-H574)</f>
        <v>7941.9</v>
      </c>
      <c r="J574" s="4" t="s">
        <v>28</v>
      </c>
      <c r="K574" s="5" t="n">
        <f aca="false">VLOOKUP(D574,Products!$A$2:$E$26,4,FALSE())</f>
        <v>144.3</v>
      </c>
      <c r="L574" s="6" t="n">
        <f aca="false">(I574-F574*K574)/I574</f>
        <v>0.582102519548219</v>
      </c>
    </row>
    <row r="575" customFormat="false" ht="15" hidden="false" customHeight="false" outlineLevel="0" collapsed="false">
      <c r="A575" s="0" t="n">
        <v>10571</v>
      </c>
      <c r="B575" s="3" t="n">
        <v>45491</v>
      </c>
      <c r="C575" s="0" t="n">
        <v>27</v>
      </c>
      <c r="D575" s="4" t="s">
        <v>29</v>
      </c>
      <c r="E575" s="4" t="s">
        <v>21</v>
      </c>
      <c r="F575" s="0" t="n">
        <v>16</v>
      </c>
      <c r="G575" s="5" t="n">
        <v>74.4</v>
      </c>
      <c r="H575" s="6" t="n">
        <v>0</v>
      </c>
      <c r="I575" s="5" t="n">
        <f aca="false">F575*G575*(1-H575)</f>
        <v>1190.4</v>
      </c>
      <c r="J575" s="4" t="s">
        <v>15</v>
      </c>
      <c r="K575" s="5" t="n">
        <f aca="false">VLOOKUP(D575,Products!$A$2:$E$26,4,FALSE())</f>
        <v>38.68</v>
      </c>
      <c r="L575" s="6" t="n">
        <f aca="false">(I575-F575*K575)/I575</f>
        <v>0.480107526881721</v>
      </c>
    </row>
    <row r="576" customFormat="false" ht="15" hidden="false" customHeight="false" outlineLevel="0" collapsed="false">
      <c r="A576" s="0" t="n">
        <v>10572</v>
      </c>
      <c r="B576" s="3" t="n">
        <v>45360</v>
      </c>
      <c r="C576" s="0" t="n">
        <v>47</v>
      </c>
      <c r="D576" s="4" t="s">
        <v>43</v>
      </c>
      <c r="E576" s="4" t="s">
        <v>21</v>
      </c>
      <c r="F576" s="0" t="n">
        <v>16</v>
      </c>
      <c r="G576" s="5" t="n">
        <v>204.3</v>
      </c>
      <c r="H576" s="6" t="n">
        <v>0.05</v>
      </c>
      <c r="I576" s="5" t="n">
        <f aca="false">F576*G576*(1-H576)</f>
        <v>3105.36</v>
      </c>
      <c r="J576" s="4" t="s">
        <v>28</v>
      </c>
      <c r="K576" s="5" t="n">
        <f aca="false">VLOOKUP(D576,Products!$A$2:$E$26,4,FALSE())</f>
        <v>126.91</v>
      </c>
      <c r="L576" s="6" t="n">
        <f aca="false">(I576-F576*K576)/I576</f>
        <v>0.346111239920653</v>
      </c>
    </row>
    <row r="577" customFormat="false" ht="15" hidden="false" customHeight="false" outlineLevel="0" collapsed="false">
      <c r="A577" s="0" t="n">
        <v>10573</v>
      </c>
      <c r="B577" s="3" t="n">
        <v>45527</v>
      </c>
      <c r="C577" s="0" t="n">
        <v>48</v>
      </c>
      <c r="D577" s="4" t="s">
        <v>23</v>
      </c>
      <c r="E577" s="4" t="s">
        <v>21</v>
      </c>
      <c r="F577" s="0" t="n">
        <v>19</v>
      </c>
      <c r="G577" s="5" t="n">
        <v>123.15</v>
      </c>
      <c r="H577" s="6" t="n">
        <v>0</v>
      </c>
      <c r="I577" s="5" t="n">
        <f aca="false">F577*G577*(1-H577)</f>
        <v>2339.85</v>
      </c>
      <c r="J577" s="4" t="s">
        <v>15</v>
      </c>
      <c r="K577" s="5" t="n">
        <f aca="false">VLOOKUP(D577,Products!$A$2:$E$26,4,FALSE())</f>
        <v>75.38</v>
      </c>
      <c r="L577" s="6" t="n">
        <f aca="false">(I577-F577*K577)/I577</f>
        <v>0.387900933820544</v>
      </c>
    </row>
    <row r="578" customFormat="false" ht="15" hidden="false" customHeight="false" outlineLevel="0" collapsed="false">
      <c r="A578" s="0" t="n">
        <v>10574</v>
      </c>
      <c r="B578" s="3" t="n">
        <v>45396</v>
      </c>
      <c r="C578" s="0" t="n">
        <v>63</v>
      </c>
      <c r="D578" s="4" t="s">
        <v>30</v>
      </c>
      <c r="E578" s="4" t="s">
        <v>20</v>
      </c>
      <c r="F578" s="0" t="n">
        <v>1</v>
      </c>
      <c r="G578" s="5" t="n">
        <v>208.55</v>
      </c>
      <c r="H578" s="6" t="n">
        <v>0</v>
      </c>
      <c r="I578" s="5" t="n">
        <f aca="false">F578*G578*(1-H578)</f>
        <v>208.55</v>
      </c>
      <c r="J578" s="4" t="s">
        <v>15</v>
      </c>
      <c r="K578" s="5" t="n">
        <f aca="false">VLOOKUP(D578,Products!$A$2:$E$26,4,FALSE())</f>
        <v>97.8</v>
      </c>
      <c r="L578" s="6" t="n">
        <f aca="false">(I578-F578*K578)/I578</f>
        <v>0.531047710381204</v>
      </c>
    </row>
    <row r="579" customFormat="false" ht="15" hidden="false" customHeight="false" outlineLevel="0" collapsed="false">
      <c r="A579" s="0" t="n">
        <v>10575</v>
      </c>
      <c r="B579" s="3" t="n">
        <v>45413</v>
      </c>
      <c r="C579" s="0" t="n">
        <v>46</v>
      </c>
      <c r="D579" s="4" t="s">
        <v>43</v>
      </c>
      <c r="E579" s="4" t="s">
        <v>24</v>
      </c>
      <c r="F579" s="0" t="n">
        <v>35</v>
      </c>
      <c r="G579" s="5" t="n">
        <v>218.26</v>
      </c>
      <c r="H579" s="6" t="n">
        <v>0</v>
      </c>
      <c r="I579" s="5" t="n">
        <f aca="false">F579*G579*(1-H579)</f>
        <v>7639.1</v>
      </c>
      <c r="J579" s="4" t="s">
        <v>15</v>
      </c>
      <c r="K579" s="5" t="n">
        <f aca="false">VLOOKUP(D579,Products!$A$2:$E$26,4,FALSE())</f>
        <v>126.91</v>
      </c>
      <c r="L579" s="6" t="n">
        <f aca="false">(I579-F579*K579)/I579</f>
        <v>0.418537524053881</v>
      </c>
    </row>
    <row r="580" customFormat="false" ht="15" hidden="false" customHeight="false" outlineLevel="0" collapsed="false">
      <c r="A580" s="0" t="n">
        <v>10576</v>
      </c>
      <c r="B580" s="3" t="n">
        <v>45629</v>
      </c>
      <c r="C580" s="0" t="n">
        <v>46</v>
      </c>
      <c r="D580" s="4" t="s">
        <v>33</v>
      </c>
      <c r="E580" s="4" t="s">
        <v>20</v>
      </c>
      <c r="F580" s="0" t="n">
        <v>31</v>
      </c>
      <c r="G580" s="5" t="n">
        <v>45.05</v>
      </c>
      <c r="H580" s="6" t="n">
        <v>0</v>
      </c>
      <c r="I580" s="5" t="n">
        <f aca="false">F580*G580*(1-H580)</f>
        <v>1396.55</v>
      </c>
      <c r="J580" s="4" t="s">
        <v>28</v>
      </c>
      <c r="K580" s="5" t="n">
        <f aca="false">VLOOKUP(D580,Products!$A$2:$E$26,4,FALSE())</f>
        <v>28.4</v>
      </c>
      <c r="L580" s="6" t="n">
        <f aca="false">(I580-F580*K580)/I580</f>
        <v>0.369589345172031</v>
      </c>
    </row>
    <row r="581" customFormat="false" ht="15" hidden="false" customHeight="false" outlineLevel="0" collapsed="false">
      <c r="A581" s="0" t="n">
        <v>10577</v>
      </c>
      <c r="B581" s="3" t="n">
        <v>45473</v>
      </c>
      <c r="C581" s="0" t="n">
        <v>49</v>
      </c>
      <c r="D581" s="4" t="s">
        <v>27</v>
      </c>
      <c r="E581" s="4" t="s">
        <v>24</v>
      </c>
      <c r="F581" s="0" t="n">
        <v>10</v>
      </c>
      <c r="G581" s="5" t="n">
        <v>117.21</v>
      </c>
      <c r="H581" s="6" t="n">
        <v>0</v>
      </c>
      <c r="I581" s="5" t="n">
        <f aca="false">F581*G581*(1-H581)</f>
        <v>1172.1</v>
      </c>
      <c r="J581" s="4" t="s">
        <v>15</v>
      </c>
      <c r="K581" s="5" t="n">
        <f aca="false">VLOOKUP(D581,Products!$A$2:$E$26,4,FALSE())</f>
        <v>45.07</v>
      </c>
      <c r="L581" s="6" t="n">
        <f aca="false">(I581-F581*K581)/I581</f>
        <v>0.615476495179592</v>
      </c>
    </row>
    <row r="582" customFormat="false" ht="15" hidden="false" customHeight="false" outlineLevel="0" collapsed="false">
      <c r="A582" s="0" t="n">
        <v>10578</v>
      </c>
      <c r="B582" s="3" t="n">
        <v>45326</v>
      </c>
      <c r="C582" s="0" t="n">
        <v>36</v>
      </c>
      <c r="D582" s="4" t="s">
        <v>26</v>
      </c>
      <c r="E582" s="4" t="s">
        <v>21</v>
      </c>
      <c r="F582" s="0" t="n">
        <v>25</v>
      </c>
      <c r="G582" s="5" t="n">
        <v>50.69</v>
      </c>
      <c r="H582" s="6" t="n">
        <v>0</v>
      </c>
      <c r="I582" s="5" t="n">
        <f aca="false">F582*G582*(1-H582)</f>
        <v>1267.25</v>
      </c>
      <c r="J582" s="4" t="s">
        <v>15</v>
      </c>
      <c r="K582" s="5" t="n">
        <f aca="false">VLOOKUP(D582,Products!$A$2:$E$26,4,FALSE())</f>
        <v>22.68</v>
      </c>
      <c r="L582" s="6" t="n">
        <f aca="false">(I582-F582*K582)/I582</f>
        <v>0.552574472282501</v>
      </c>
    </row>
    <row r="583" customFormat="false" ht="15" hidden="false" customHeight="false" outlineLevel="0" collapsed="false">
      <c r="A583" s="0" t="n">
        <v>10579</v>
      </c>
      <c r="B583" s="3" t="n">
        <v>45422</v>
      </c>
      <c r="C583" s="0" t="n">
        <v>62</v>
      </c>
      <c r="D583" s="4" t="s">
        <v>13</v>
      </c>
      <c r="E583" s="4" t="s">
        <v>21</v>
      </c>
      <c r="F583" s="0" t="n">
        <v>7</v>
      </c>
      <c r="G583" s="5" t="n">
        <v>94.4</v>
      </c>
      <c r="H583" s="6" t="n">
        <v>0.15</v>
      </c>
      <c r="I583" s="5" t="n">
        <f aca="false">F583*G583*(1-H583)</f>
        <v>561.68</v>
      </c>
      <c r="J583" s="4" t="s">
        <v>15</v>
      </c>
      <c r="K583" s="5" t="n">
        <f aca="false">VLOOKUP(D583,Products!$A$2:$E$26,4,FALSE())</f>
        <v>39.86</v>
      </c>
      <c r="L583" s="6" t="n">
        <f aca="false">(I583-F583*K583)/I583</f>
        <v>0.503240279162513</v>
      </c>
    </row>
    <row r="584" customFormat="false" ht="15" hidden="false" customHeight="false" outlineLevel="0" collapsed="false">
      <c r="A584" s="0" t="n">
        <v>10580</v>
      </c>
      <c r="B584" s="3" t="n">
        <v>45619</v>
      </c>
      <c r="C584" s="0" t="n">
        <v>22</v>
      </c>
      <c r="D584" s="4" t="s">
        <v>17</v>
      </c>
      <c r="E584" s="4" t="s">
        <v>24</v>
      </c>
      <c r="F584" s="0" t="n">
        <v>3</v>
      </c>
      <c r="G584" s="5" t="n">
        <v>88.17</v>
      </c>
      <c r="H584" s="6" t="n">
        <v>0</v>
      </c>
      <c r="I584" s="5" t="n">
        <f aca="false">F584*G584*(1-H584)</f>
        <v>264.51</v>
      </c>
      <c r="J584" s="4" t="s">
        <v>28</v>
      </c>
      <c r="K584" s="5" t="n">
        <f aca="false">VLOOKUP(D584,Products!$A$2:$E$26,4,FALSE())</f>
        <v>38.24</v>
      </c>
      <c r="L584" s="6" t="n">
        <f aca="false">(I584-F584*K584)/I584</f>
        <v>0.566292389701713</v>
      </c>
    </row>
    <row r="585" customFormat="false" ht="15" hidden="false" customHeight="false" outlineLevel="0" collapsed="false">
      <c r="A585" s="0" t="n">
        <v>10581</v>
      </c>
      <c r="B585" s="3" t="n">
        <v>45448</v>
      </c>
      <c r="C585" s="0" t="n">
        <v>52</v>
      </c>
      <c r="D585" s="4" t="s">
        <v>37</v>
      </c>
      <c r="E585" s="4" t="s">
        <v>21</v>
      </c>
      <c r="F585" s="0" t="n">
        <v>38</v>
      </c>
      <c r="G585" s="5" t="n">
        <v>8.14</v>
      </c>
      <c r="H585" s="6" t="n">
        <v>0</v>
      </c>
      <c r="I585" s="5" t="n">
        <f aca="false">F585*G585*(1-H585)</f>
        <v>309.32</v>
      </c>
      <c r="J585" s="4" t="s">
        <v>18</v>
      </c>
      <c r="K585" s="5" t="n">
        <f aca="false">VLOOKUP(D585,Products!$A$2:$E$26,4,FALSE())</f>
        <v>3.88</v>
      </c>
      <c r="L585" s="6" t="n">
        <f aca="false">(I585-F585*K585)/I585</f>
        <v>0.523341523341523</v>
      </c>
    </row>
    <row r="586" customFormat="false" ht="15" hidden="false" customHeight="false" outlineLevel="0" collapsed="false">
      <c r="A586" s="0" t="n">
        <v>10582</v>
      </c>
      <c r="B586" s="3" t="n">
        <v>45382</v>
      </c>
      <c r="C586" s="0" t="n">
        <v>80</v>
      </c>
      <c r="D586" s="4" t="s">
        <v>46</v>
      </c>
      <c r="E586" s="4" t="s">
        <v>14</v>
      </c>
      <c r="F586" s="0" t="n">
        <v>34</v>
      </c>
      <c r="G586" s="5" t="n">
        <v>300.53</v>
      </c>
      <c r="H586" s="6" t="n">
        <v>0.15</v>
      </c>
      <c r="I586" s="5" t="n">
        <f aca="false">F586*G586*(1-H586)</f>
        <v>8685.317</v>
      </c>
      <c r="J586" s="4" t="s">
        <v>15</v>
      </c>
      <c r="K586" s="5" t="n">
        <f aca="false">VLOOKUP(D586,Products!$A$2:$E$26,4,FALSE())</f>
        <v>219.79</v>
      </c>
      <c r="L586" s="6" t="n">
        <f aca="false">(I586-F586*K586)/I586</f>
        <v>0.139598474068362</v>
      </c>
    </row>
    <row r="587" customFormat="false" ht="15" hidden="false" customHeight="false" outlineLevel="0" collapsed="false">
      <c r="A587" s="0" t="n">
        <v>10583</v>
      </c>
      <c r="B587" s="3" t="n">
        <v>45385</v>
      </c>
      <c r="C587" s="0" t="n">
        <v>36</v>
      </c>
      <c r="D587" s="4" t="s">
        <v>34</v>
      </c>
      <c r="E587" s="4" t="s">
        <v>24</v>
      </c>
      <c r="F587" s="0" t="n">
        <v>37</v>
      </c>
      <c r="G587" s="5" t="n">
        <v>21.03</v>
      </c>
      <c r="H587" s="6" t="n">
        <v>0.1</v>
      </c>
      <c r="I587" s="5" t="n">
        <f aca="false">F587*G587*(1-H587)</f>
        <v>700.299</v>
      </c>
      <c r="J587" s="4" t="s">
        <v>28</v>
      </c>
      <c r="K587" s="5" t="n">
        <f aca="false">VLOOKUP(D587,Products!$A$2:$E$26,4,FALSE())</f>
        <v>14.34</v>
      </c>
      <c r="L587" s="6" t="n">
        <f aca="false">(I587-F587*K587)/I587</f>
        <v>0.242352195276589</v>
      </c>
    </row>
    <row r="588" customFormat="false" ht="15" hidden="false" customHeight="false" outlineLevel="0" collapsed="false">
      <c r="A588" s="0" t="n">
        <v>10584</v>
      </c>
      <c r="B588" s="3" t="n">
        <v>45420</v>
      </c>
      <c r="C588" s="0" t="n">
        <v>20</v>
      </c>
      <c r="D588" s="4" t="s">
        <v>32</v>
      </c>
      <c r="E588" s="4" t="s">
        <v>21</v>
      </c>
      <c r="F588" s="0" t="n">
        <v>3</v>
      </c>
      <c r="G588" s="5" t="n">
        <v>373.97</v>
      </c>
      <c r="H588" s="6" t="n">
        <v>0</v>
      </c>
      <c r="I588" s="5" t="n">
        <f aca="false">F588*G588*(1-H588)</f>
        <v>1121.91</v>
      </c>
      <c r="J588" s="4" t="s">
        <v>15</v>
      </c>
      <c r="K588" s="5" t="n">
        <f aca="false">VLOOKUP(D588,Products!$A$2:$E$26,4,FALSE())</f>
        <v>144.3</v>
      </c>
      <c r="L588" s="6" t="n">
        <f aca="false">(I588-F588*K588)/I588</f>
        <v>0.614140171671524</v>
      </c>
    </row>
    <row r="589" customFormat="false" ht="15" hidden="false" customHeight="false" outlineLevel="0" collapsed="false">
      <c r="A589" s="0" t="n">
        <v>10585</v>
      </c>
      <c r="B589" s="3" t="n">
        <v>45328</v>
      </c>
      <c r="C589" s="0" t="n">
        <v>28</v>
      </c>
      <c r="D589" s="4" t="s">
        <v>13</v>
      </c>
      <c r="E589" s="4" t="s">
        <v>14</v>
      </c>
      <c r="F589" s="0" t="n">
        <v>38</v>
      </c>
      <c r="G589" s="5" t="n">
        <v>90.85</v>
      </c>
      <c r="H589" s="6" t="n">
        <v>0</v>
      </c>
      <c r="I589" s="5" t="n">
        <f aca="false">F589*G589*(1-H589)</f>
        <v>3452.3</v>
      </c>
      <c r="J589" s="4" t="s">
        <v>15</v>
      </c>
      <c r="K589" s="5" t="n">
        <f aca="false">VLOOKUP(D589,Products!$A$2:$E$26,4,FALSE())</f>
        <v>39.86</v>
      </c>
      <c r="L589" s="6" t="n">
        <f aca="false">(I589-F589*K589)/I589</f>
        <v>0.56125481563016</v>
      </c>
    </row>
    <row r="590" customFormat="false" ht="15" hidden="false" customHeight="false" outlineLevel="0" collapsed="false">
      <c r="A590" s="0" t="n">
        <v>10586</v>
      </c>
      <c r="B590" s="3" t="n">
        <v>45471</v>
      </c>
      <c r="C590" s="0" t="n">
        <v>13</v>
      </c>
      <c r="D590" s="4" t="s">
        <v>27</v>
      </c>
      <c r="E590" s="4" t="s">
        <v>14</v>
      </c>
      <c r="F590" s="0" t="n">
        <v>13</v>
      </c>
      <c r="G590" s="5" t="n">
        <v>117.11</v>
      </c>
      <c r="H590" s="6" t="n">
        <v>0.15</v>
      </c>
      <c r="I590" s="5" t="n">
        <f aca="false">F590*G590*(1-H590)</f>
        <v>1294.0655</v>
      </c>
      <c r="J590" s="4" t="s">
        <v>28</v>
      </c>
      <c r="K590" s="5" t="n">
        <f aca="false">VLOOKUP(D590,Products!$A$2:$E$26,4,FALSE())</f>
        <v>45.07</v>
      </c>
      <c r="L590" s="6" t="n">
        <f aca="false">(I590-F590*K590)/I590</f>
        <v>0.547233119189098</v>
      </c>
    </row>
    <row r="591" customFormat="false" ht="15" hidden="false" customHeight="false" outlineLevel="0" collapsed="false">
      <c r="A591" s="0" t="n">
        <v>10587</v>
      </c>
      <c r="B591" s="3" t="n">
        <v>45651</v>
      </c>
      <c r="C591" s="0" t="n">
        <v>73</v>
      </c>
      <c r="D591" s="4" t="s">
        <v>17</v>
      </c>
      <c r="E591" s="4" t="s">
        <v>20</v>
      </c>
      <c r="F591" s="0" t="n">
        <v>10</v>
      </c>
      <c r="G591" s="5" t="n">
        <v>87.79</v>
      </c>
      <c r="H591" s="6" t="n">
        <v>0.05</v>
      </c>
      <c r="I591" s="5" t="n">
        <f aca="false">F591*G591*(1-H591)</f>
        <v>834.005</v>
      </c>
      <c r="J591" s="4" t="s">
        <v>15</v>
      </c>
      <c r="K591" s="5" t="n">
        <f aca="false">VLOOKUP(D591,Products!$A$2:$E$26,4,FALSE())</f>
        <v>38.24</v>
      </c>
      <c r="L591" s="6" t="n">
        <f aca="false">(I591-F591*K591)/I591</f>
        <v>0.541489559415111</v>
      </c>
    </row>
    <row r="592" customFormat="false" ht="15" hidden="false" customHeight="false" outlineLevel="0" collapsed="false">
      <c r="A592" s="0" t="n">
        <v>10588</v>
      </c>
      <c r="B592" s="3" t="n">
        <v>45320</v>
      </c>
      <c r="C592" s="0" t="n">
        <v>52</v>
      </c>
      <c r="D592" s="4" t="s">
        <v>27</v>
      </c>
      <c r="E592" s="4" t="s">
        <v>14</v>
      </c>
      <c r="F592" s="0" t="n">
        <v>24</v>
      </c>
      <c r="G592" s="5" t="n">
        <v>116.13</v>
      </c>
      <c r="H592" s="6" t="n">
        <v>0.1</v>
      </c>
      <c r="I592" s="5" t="n">
        <f aca="false">F592*G592*(1-H592)</f>
        <v>2508.408</v>
      </c>
      <c r="J592" s="4" t="s">
        <v>15</v>
      </c>
      <c r="K592" s="5" t="n">
        <f aca="false">VLOOKUP(D592,Products!$A$2:$E$26,4,FALSE())</f>
        <v>45.07</v>
      </c>
      <c r="L592" s="6" t="n">
        <f aca="false">(I592-F592*K592)/I592</f>
        <v>0.568778284872317</v>
      </c>
    </row>
    <row r="593" customFormat="false" ht="15" hidden="false" customHeight="false" outlineLevel="0" collapsed="false">
      <c r="A593" s="0" t="n">
        <v>10589</v>
      </c>
      <c r="B593" s="3" t="n">
        <v>45636</v>
      </c>
      <c r="C593" s="0" t="n">
        <v>17</v>
      </c>
      <c r="D593" s="4" t="s">
        <v>16</v>
      </c>
      <c r="E593" s="4" t="s">
        <v>14</v>
      </c>
      <c r="F593" s="0" t="n">
        <v>14</v>
      </c>
      <c r="G593" s="5" t="n">
        <v>147.56</v>
      </c>
      <c r="H593" s="6" t="n">
        <v>0</v>
      </c>
      <c r="I593" s="5" t="n">
        <f aca="false">F593*G593*(1-H593)</f>
        <v>2065.84</v>
      </c>
      <c r="J593" s="4" t="s">
        <v>15</v>
      </c>
      <c r="K593" s="5" t="n">
        <f aca="false">VLOOKUP(D593,Products!$A$2:$E$26,4,FALSE())</f>
        <v>72.1</v>
      </c>
      <c r="L593" s="6" t="n">
        <f aca="false">(I593-F593*K593)/I593</f>
        <v>0.511385199240987</v>
      </c>
    </row>
    <row r="594" customFormat="false" ht="15" hidden="false" customHeight="false" outlineLevel="0" collapsed="false">
      <c r="A594" s="0" t="n">
        <v>10590</v>
      </c>
      <c r="B594" s="3" t="n">
        <v>45307</v>
      </c>
      <c r="C594" s="0" t="n">
        <v>40</v>
      </c>
      <c r="D594" s="4" t="s">
        <v>38</v>
      </c>
      <c r="E594" s="4" t="s">
        <v>21</v>
      </c>
      <c r="F594" s="0" t="n">
        <v>17</v>
      </c>
      <c r="G594" s="5" t="n">
        <v>166.09</v>
      </c>
      <c r="H594" s="6" t="n">
        <v>0.15</v>
      </c>
      <c r="I594" s="5" t="n">
        <f aca="false">F594*G594*(1-H594)</f>
        <v>2400.0005</v>
      </c>
      <c r="J594" s="4" t="s">
        <v>15</v>
      </c>
      <c r="K594" s="5" t="n">
        <f aca="false">VLOOKUP(D594,Products!$A$2:$E$26,4,FALSE())</f>
        <v>107.25</v>
      </c>
      <c r="L594" s="6" t="n">
        <f aca="false">(I594-F594*K594)/I594</f>
        <v>0.240312658268196</v>
      </c>
    </row>
    <row r="595" customFormat="false" ht="15" hidden="false" customHeight="false" outlineLevel="0" collapsed="false">
      <c r="A595" s="0" t="n">
        <v>10591</v>
      </c>
      <c r="B595" s="3" t="n">
        <v>45450</v>
      </c>
      <c r="C595" s="0" t="n">
        <v>75</v>
      </c>
      <c r="D595" s="4" t="s">
        <v>38</v>
      </c>
      <c r="E595" s="4" t="s">
        <v>21</v>
      </c>
      <c r="F595" s="0" t="n">
        <v>39</v>
      </c>
      <c r="G595" s="5" t="n">
        <v>165.73</v>
      </c>
      <c r="H595" s="6" t="n">
        <v>0</v>
      </c>
      <c r="I595" s="5" t="n">
        <f aca="false">F595*G595*(1-H595)</f>
        <v>6463.47</v>
      </c>
      <c r="J595" s="4" t="s">
        <v>15</v>
      </c>
      <c r="K595" s="5" t="n">
        <f aca="false">VLOOKUP(D595,Products!$A$2:$E$26,4,FALSE())</f>
        <v>107.25</v>
      </c>
      <c r="L595" s="6" t="n">
        <f aca="false">(I595-F595*K595)/I595</f>
        <v>0.352863090568998</v>
      </c>
    </row>
    <row r="596" customFormat="false" ht="15" hidden="false" customHeight="false" outlineLevel="0" collapsed="false">
      <c r="A596" s="0" t="n">
        <v>10592</v>
      </c>
      <c r="B596" s="3" t="n">
        <v>45430</v>
      </c>
      <c r="C596" s="0" t="n">
        <v>49</v>
      </c>
      <c r="D596" s="4" t="s">
        <v>33</v>
      </c>
      <c r="E596" s="4" t="s">
        <v>20</v>
      </c>
      <c r="F596" s="0" t="n">
        <v>39</v>
      </c>
      <c r="G596" s="5" t="n">
        <v>43.72</v>
      </c>
      <c r="H596" s="6" t="n">
        <v>0.1</v>
      </c>
      <c r="I596" s="5" t="n">
        <f aca="false">F596*G596*(1-H596)</f>
        <v>1534.572</v>
      </c>
      <c r="J596" s="4" t="s">
        <v>18</v>
      </c>
      <c r="K596" s="5" t="n">
        <f aca="false">VLOOKUP(D596,Products!$A$2:$E$26,4,FALSE())</f>
        <v>28.4</v>
      </c>
      <c r="L596" s="6" t="n">
        <f aca="false">(I596-F596*K596)/I596</f>
        <v>0.278235234319406</v>
      </c>
    </row>
    <row r="597" customFormat="false" ht="15" hidden="false" customHeight="false" outlineLevel="0" collapsed="false">
      <c r="A597" s="0" t="n">
        <v>10593</v>
      </c>
      <c r="B597" s="3" t="n">
        <v>45498</v>
      </c>
      <c r="C597" s="0" t="n">
        <v>43</v>
      </c>
      <c r="D597" s="4" t="s">
        <v>30</v>
      </c>
      <c r="E597" s="4" t="s">
        <v>14</v>
      </c>
      <c r="F597" s="0" t="n">
        <v>23</v>
      </c>
      <c r="G597" s="5" t="n">
        <v>212.47</v>
      </c>
      <c r="H597" s="6" t="n">
        <v>0.15</v>
      </c>
      <c r="I597" s="5" t="n">
        <f aca="false">F597*G597*(1-H597)</f>
        <v>4153.7885</v>
      </c>
      <c r="J597" s="4" t="s">
        <v>18</v>
      </c>
      <c r="K597" s="5" t="n">
        <f aca="false">VLOOKUP(D597,Products!$A$2:$E$26,4,FALSE())</f>
        <v>97.8</v>
      </c>
      <c r="L597" s="6" t="n">
        <f aca="false">(I597-F597*K597)/I597</f>
        <v>0.458470261545575</v>
      </c>
    </row>
    <row r="598" customFormat="false" ht="15" hidden="false" customHeight="false" outlineLevel="0" collapsed="false">
      <c r="A598" s="0" t="n">
        <v>10594</v>
      </c>
      <c r="B598" s="3" t="n">
        <v>45437</v>
      </c>
      <c r="C598" s="0" t="n">
        <v>22</v>
      </c>
      <c r="D598" s="4" t="s">
        <v>38</v>
      </c>
      <c r="E598" s="4" t="s">
        <v>24</v>
      </c>
      <c r="F598" s="0" t="n">
        <v>40</v>
      </c>
      <c r="G598" s="5" t="n">
        <v>179.7</v>
      </c>
      <c r="H598" s="6" t="n">
        <v>0.15</v>
      </c>
      <c r="I598" s="5" t="n">
        <f aca="false">F598*G598*(1-H598)</f>
        <v>6109.8</v>
      </c>
      <c r="J598" s="4" t="s">
        <v>15</v>
      </c>
      <c r="K598" s="5" t="n">
        <f aca="false">VLOOKUP(D598,Products!$A$2:$E$26,4,FALSE())</f>
        <v>107.25</v>
      </c>
      <c r="L598" s="6" t="n">
        <f aca="false">(I598-F598*K598)/I598</f>
        <v>0.297849356771089</v>
      </c>
    </row>
    <row r="599" customFormat="false" ht="15" hidden="false" customHeight="false" outlineLevel="0" collapsed="false">
      <c r="A599" s="0" t="n">
        <v>10595</v>
      </c>
      <c r="B599" s="3" t="n">
        <v>45576</v>
      </c>
      <c r="C599" s="0" t="n">
        <v>41</v>
      </c>
      <c r="D599" s="4" t="s">
        <v>35</v>
      </c>
      <c r="E599" s="4" t="s">
        <v>21</v>
      </c>
      <c r="F599" s="0" t="n">
        <v>9</v>
      </c>
      <c r="G599" s="5" t="n">
        <v>380.65</v>
      </c>
      <c r="H599" s="6" t="n">
        <v>0</v>
      </c>
      <c r="I599" s="5" t="n">
        <f aca="false">F599*G599*(1-H599)</f>
        <v>3425.85</v>
      </c>
      <c r="J599" s="4" t="s">
        <v>15</v>
      </c>
      <c r="K599" s="5" t="n">
        <f aca="false">VLOOKUP(D599,Products!$A$2:$E$26,4,FALSE())</f>
        <v>244.6</v>
      </c>
      <c r="L599" s="6" t="n">
        <f aca="false">(I599-F599*K599)/I599</f>
        <v>0.357414948115066</v>
      </c>
    </row>
    <row r="600" customFormat="false" ht="15" hidden="false" customHeight="false" outlineLevel="0" collapsed="false">
      <c r="A600" s="0" t="n">
        <v>10596</v>
      </c>
      <c r="B600" s="3" t="n">
        <v>45627</v>
      </c>
      <c r="C600" s="0" t="n">
        <v>76</v>
      </c>
      <c r="D600" s="4" t="s">
        <v>31</v>
      </c>
      <c r="E600" s="4" t="s">
        <v>20</v>
      </c>
      <c r="F600" s="0" t="n">
        <v>31</v>
      </c>
      <c r="G600" s="5" t="n">
        <v>41.9</v>
      </c>
      <c r="H600" s="6" t="n">
        <v>0</v>
      </c>
      <c r="I600" s="5" t="n">
        <f aca="false">F600*G600*(1-H600)</f>
        <v>1298.9</v>
      </c>
      <c r="J600" s="4" t="s">
        <v>18</v>
      </c>
      <c r="K600" s="5" t="n">
        <f aca="false">VLOOKUP(D600,Products!$A$2:$E$26,4,FALSE())</f>
        <v>23.25</v>
      </c>
      <c r="L600" s="6" t="n">
        <f aca="false">(I600-F600*K600)/I600</f>
        <v>0.445107398568019</v>
      </c>
    </row>
    <row r="601" customFormat="false" ht="15" hidden="false" customHeight="false" outlineLevel="0" collapsed="false">
      <c r="A601" s="0" t="n">
        <v>10597</v>
      </c>
      <c r="B601" s="3" t="n">
        <v>45308</v>
      </c>
      <c r="C601" s="0" t="n">
        <v>35</v>
      </c>
      <c r="D601" s="4" t="s">
        <v>27</v>
      </c>
      <c r="E601" s="4" t="s">
        <v>24</v>
      </c>
      <c r="F601" s="0" t="n">
        <v>17</v>
      </c>
      <c r="G601" s="5" t="n">
        <v>117.09</v>
      </c>
      <c r="H601" s="6" t="n">
        <v>0</v>
      </c>
      <c r="I601" s="5" t="n">
        <f aca="false">F601*G601*(1-H601)</f>
        <v>1990.53</v>
      </c>
      <c r="J601" s="4" t="s">
        <v>15</v>
      </c>
      <c r="K601" s="5" t="n">
        <f aca="false">VLOOKUP(D601,Products!$A$2:$E$26,4,FALSE())</f>
        <v>45.07</v>
      </c>
      <c r="L601" s="6" t="n">
        <f aca="false">(I601-F601*K601)/I601</f>
        <v>0.615082415236143</v>
      </c>
    </row>
    <row r="602" customFormat="false" ht="15" hidden="false" customHeight="false" outlineLevel="0" collapsed="false">
      <c r="A602" s="0" t="n">
        <v>10598</v>
      </c>
      <c r="B602" s="3" t="n">
        <v>45639</v>
      </c>
      <c r="C602" s="0" t="n">
        <v>17</v>
      </c>
      <c r="D602" s="4" t="s">
        <v>26</v>
      </c>
      <c r="E602" s="4" t="s">
        <v>24</v>
      </c>
      <c r="F602" s="0" t="n">
        <v>40</v>
      </c>
      <c r="G602" s="5" t="n">
        <v>54.5</v>
      </c>
      <c r="H602" s="6" t="n">
        <v>0.15</v>
      </c>
      <c r="I602" s="5" t="n">
        <f aca="false">F602*G602*(1-H602)</f>
        <v>1853</v>
      </c>
      <c r="J602" s="4" t="s">
        <v>18</v>
      </c>
      <c r="K602" s="5" t="n">
        <f aca="false">VLOOKUP(D602,Products!$A$2:$E$26,4,FALSE())</f>
        <v>22.68</v>
      </c>
      <c r="L602" s="6" t="n">
        <f aca="false">(I602-F602*K602)/I602</f>
        <v>0.510415542363734</v>
      </c>
    </row>
    <row r="603" customFormat="false" ht="15" hidden="false" customHeight="false" outlineLevel="0" collapsed="false">
      <c r="A603" s="0" t="n">
        <v>10599</v>
      </c>
      <c r="B603" s="3" t="n">
        <v>45650</v>
      </c>
      <c r="C603" s="0" t="n">
        <v>66</v>
      </c>
      <c r="D603" s="4" t="s">
        <v>38</v>
      </c>
      <c r="E603" s="4" t="s">
        <v>24</v>
      </c>
      <c r="F603" s="0" t="n">
        <v>24</v>
      </c>
      <c r="G603" s="5" t="n">
        <v>179.15</v>
      </c>
      <c r="H603" s="6" t="n">
        <v>0</v>
      </c>
      <c r="I603" s="5" t="n">
        <f aca="false">F603*G603*(1-H603)</f>
        <v>4299.6</v>
      </c>
      <c r="J603" s="4" t="s">
        <v>18</v>
      </c>
      <c r="K603" s="5" t="n">
        <f aca="false">VLOOKUP(D603,Products!$A$2:$E$26,4,FALSE())</f>
        <v>107.25</v>
      </c>
      <c r="L603" s="6" t="n">
        <f aca="false">(I603-F603*K603)/I603</f>
        <v>0.40133965950321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4</v>
      </c>
      <c r="B1" s="0" t="s">
        <v>48</v>
      </c>
      <c r="C1" s="0" t="s">
        <v>49</v>
      </c>
      <c r="D1" s="0" t="s">
        <v>11</v>
      </c>
      <c r="E1" s="0" t="s">
        <v>50</v>
      </c>
    </row>
    <row r="2" customFormat="false" ht="15" hidden="false" customHeight="false" outlineLevel="0" collapsed="false">
      <c r="A2" s="0" t="s">
        <v>23</v>
      </c>
      <c r="B2" s="0" t="s">
        <v>51</v>
      </c>
      <c r="C2" s="0" t="s">
        <v>52</v>
      </c>
      <c r="D2" s="5" t="n">
        <v>75.38</v>
      </c>
      <c r="E2" s="5" t="n">
        <v>124.62</v>
      </c>
    </row>
    <row r="3" customFormat="false" ht="15" hidden="false" customHeight="false" outlineLevel="0" collapsed="false">
      <c r="A3" s="0" t="s">
        <v>34</v>
      </c>
      <c r="B3" s="0" t="s">
        <v>53</v>
      </c>
      <c r="C3" s="0" t="s">
        <v>54</v>
      </c>
      <c r="D3" s="5" t="n">
        <v>14.34</v>
      </c>
      <c r="E3" s="5" t="n">
        <v>21.71</v>
      </c>
    </row>
    <row r="4" customFormat="false" ht="15" hidden="false" customHeight="false" outlineLevel="0" collapsed="false">
      <c r="A4" s="0" t="s">
        <v>43</v>
      </c>
      <c r="B4" s="0" t="s">
        <v>55</v>
      </c>
      <c r="C4" s="0" t="s">
        <v>56</v>
      </c>
      <c r="D4" s="5" t="n">
        <v>126.91</v>
      </c>
      <c r="E4" s="5" t="n">
        <v>211.23</v>
      </c>
    </row>
    <row r="5" customFormat="false" ht="15" hidden="false" customHeight="false" outlineLevel="0" collapsed="false">
      <c r="A5" s="0" t="s">
        <v>17</v>
      </c>
      <c r="B5" s="0" t="s">
        <v>57</v>
      </c>
      <c r="C5" s="0" t="s">
        <v>52</v>
      </c>
      <c r="D5" s="5" t="n">
        <v>38.24</v>
      </c>
      <c r="E5" s="5" t="n">
        <v>87.74</v>
      </c>
    </row>
    <row r="6" customFormat="false" ht="15" hidden="false" customHeight="false" outlineLevel="0" collapsed="false">
      <c r="A6" s="0" t="s">
        <v>22</v>
      </c>
      <c r="B6" s="0" t="s">
        <v>58</v>
      </c>
      <c r="C6" s="0" t="s">
        <v>54</v>
      </c>
      <c r="D6" s="5" t="n">
        <v>26.06</v>
      </c>
      <c r="E6" s="5" t="n">
        <v>49.69</v>
      </c>
    </row>
    <row r="7" customFormat="false" ht="15" hidden="false" customHeight="false" outlineLevel="0" collapsed="false">
      <c r="A7" s="0" t="s">
        <v>25</v>
      </c>
      <c r="B7" s="0" t="s">
        <v>59</v>
      </c>
      <c r="C7" s="0" t="s">
        <v>56</v>
      </c>
      <c r="D7" s="5" t="n">
        <v>128.85</v>
      </c>
      <c r="E7" s="5" t="n">
        <v>213.08</v>
      </c>
    </row>
    <row r="8" customFormat="false" ht="15" hidden="false" customHeight="false" outlineLevel="0" collapsed="false">
      <c r="A8" s="0" t="s">
        <v>30</v>
      </c>
      <c r="B8" s="0" t="s">
        <v>60</v>
      </c>
      <c r="C8" s="0" t="s">
        <v>52</v>
      </c>
      <c r="D8" s="5" t="n">
        <v>97.8</v>
      </c>
      <c r="E8" s="5" t="n">
        <v>213.38</v>
      </c>
    </row>
    <row r="9" customFormat="false" ht="15" hidden="false" customHeight="false" outlineLevel="0" collapsed="false">
      <c r="A9" s="0" t="s">
        <v>31</v>
      </c>
      <c r="B9" s="0" t="s">
        <v>61</v>
      </c>
      <c r="C9" s="0" t="s">
        <v>54</v>
      </c>
      <c r="D9" s="5" t="n">
        <v>23.25</v>
      </c>
      <c r="E9" s="5" t="n">
        <v>43.72</v>
      </c>
    </row>
    <row r="10" customFormat="false" ht="15" hidden="false" customHeight="false" outlineLevel="0" collapsed="false">
      <c r="A10" s="0" t="s">
        <v>46</v>
      </c>
      <c r="B10" s="0" t="s">
        <v>62</v>
      </c>
      <c r="C10" s="0" t="s">
        <v>56</v>
      </c>
      <c r="D10" s="5" t="n">
        <v>219.79</v>
      </c>
      <c r="E10" s="5" t="n">
        <v>314.04</v>
      </c>
    </row>
    <row r="11" customFormat="false" ht="15" hidden="false" customHeight="false" outlineLevel="0" collapsed="false">
      <c r="A11" s="0" t="s">
        <v>42</v>
      </c>
      <c r="B11" s="0" t="s">
        <v>63</v>
      </c>
      <c r="C11" s="0" t="s">
        <v>52</v>
      </c>
      <c r="D11" s="5" t="n">
        <v>47.32</v>
      </c>
      <c r="E11" s="5" t="n">
        <v>77.15</v>
      </c>
    </row>
    <row r="12" customFormat="false" ht="15" hidden="false" customHeight="false" outlineLevel="0" collapsed="false">
      <c r="A12" s="0" t="s">
        <v>44</v>
      </c>
      <c r="B12" s="0" t="s">
        <v>64</v>
      </c>
      <c r="C12" s="0" t="s">
        <v>54</v>
      </c>
      <c r="D12" s="5" t="n">
        <v>18.41</v>
      </c>
      <c r="E12" s="5" t="n">
        <v>30.77</v>
      </c>
    </row>
    <row r="13" customFormat="false" ht="15" hidden="false" customHeight="false" outlineLevel="0" collapsed="false">
      <c r="A13" s="0" t="s">
        <v>32</v>
      </c>
      <c r="B13" s="0" t="s">
        <v>65</v>
      </c>
      <c r="C13" s="0" t="s">
        <v>56</v>
      </c>
      <c r="D13" s="5" t="n">
        <v>144.3</v>
      </c>
      <c r="E13" s="5" t="n">
        <v>359.01</v>
      </c>
    </row>
    <row r="14" customFormat="false" ht="15" hidden="false" customHeight="false" outlineLevel="0" collapsed="false">
      <c r="A14" s="0" t="s">
        <v>29</v>
      </c>
      <c r="B14" s="0" t="s">
        <v>66</v>
      </c>
      <c r="C14" s="0" t="s">
        <v>52</v>
      </c>
      <c r="D14" s="5" t="n">
        <v>38.68</v>
      </c>
      <c r="E14" s="5" t="n">
        <v>78.27</v>
      </c>
    </row>
    <row r="15" customFormat="false" ht="15" hidden="false" customHeight="false" outlineLevel="0" collapsed="false">
      <c r="A15" s="0" t="s">
        <v>37</v>
      </c>
      <c r="B15" s="0" t="s">
        <v>67</v>
      </c>
      <c r="C15" s="0" t="s">
        <v>54</v>
      </c>
      <c r="D15" s="5" t="n">
        <v>3.88</v>
      </c>
      <c r="E15" s="5" t="n">
        <v>8.22</v>
      </c>
    </row>
    <row r="16" customFormat="false" ht="15" hidden="false" customHeight="false" outlineLevel="0" collapsed="false">
      <c r="A16" s="0" t="s">
        <v>19</v>
      </c>
      <c r="B16" s="0" t="s">
        <v>68</v>
      </c>
      <c r="C16" s="0" t="s">
        <v>56</v>
      </c>
      <c r="D16" s="5" t="n">
        <v>83.93</v>
      </c>
      <c r="E16" s="5" t="n">
        <v>213.3</v>
      </c>
    </row>
    <row r="17" customFormat="false" ht="15" hidden="false" customHeight="false" outlineLevel="0" collapsed="false">
      <c r="A17" s="0" t="s">
        <v>38</v>
      </c>
      <c r="B17" s="0" t="s">
        <v>69</v>
      </c>
      <c r="C17" s="0" t="s">
        <v>52</v>
      </c>
      <c r="D17" s="5" t="n">
        <v>107.25</v>
      </c>
      <c r="E17" s="5" t="n">
        <v>173.83</v>
      </c>
    </row>
    <row r="18" customFormat="false" ht="15" hidden="false" customHeight="false" outlineLevel="0" collapsed="false">
      <c r="A18" s="0" t="s">
        <v>41</v>
      </c>
      <c r="B18" s="0" t="s">
        <v>70</v>
      </c>
      <c r="C18" s="0" t="s">
        <v>54</v>
      </c>
      <c r="D18" s="5" t="n">
        <v>12.46</v>
      </c>
      <c r="E18" s="5" t="n">
        <v>26.47</v>
      </c>
    </row>
    <row r="19" customFormat="false" ht="15" hidden="false" customHeight="false" outlineLevel="0" collapsed="false">
      <c r="A19" s="0" t="s">
        <v>16</v>
      </c>
      <c r="B19" s="0" t="s">
        <v>71</v>
      </c>
      <c r="C19" s="0" t="s">
        <v>56</v>
      </c>
      <c r="D19" s="5" t="n">
        <v>72.1</v>
      </c>
      <c r="E19" s="5" t="n">
        <v>144.37</v>
      </c>
    </row>
    <row r="20" customFormat="false" ht="15" hidden="false" customHeight="false" outlineLevel="0" collapsed="false">
      <c r="A20" s="0" t="s">
        <v>45</v>
      </c>
      <c r="B20" s="0" t="s">
        <v>72</v>
      </c>
      <c r="C20" s="0" t="s">
        <v>52</v>
      </c>
      <c r="D20" s="5" t="n">
        <v>41.2</v>
      </c>
      <c r="E20" s="5" t="n">
        <v>96.96</v>
      </c>
    </row>
    <row r="21" customFormat="false" ht="15" hidden="false" customHeight="false" outlineLevel="0" collapsed="false">
      <c r="A21" s="0" t="s">
        <v>26</v>
      </c>
      <c r="B21" s="0" t="s">
        <v>73</v>
      </c>
      <c r="C21" s="0" t="s">
        <v>54</v>
      </c>
      <c r="D21" s="5" t="n">
        <v>22.68</v>
      </c>
      <c r="E21" s="5" t="n">
        <v>52.73</v>
      </c>
    </row>
    <row r="22" customFormat="false" ht="15" hidden="false" customHeight="false" outlineLevel="0" collapsed="false">
      <c r="A22" s="0" t="s">
        <v>13</v>
      </c>
      <c r="B22" s="0" t="s">
        <v>74</v>
      </c>
      <c r="C22" s="0" t="s">
        <v>56</v>
      </c>
      <c r="D22" s="5" t="n">
        <v>39.86</v>
      </c>
      <c r="E22" s="5" t="n">
        <v>92.96</v>
      </c>
    </row>
    <row r="23" customFormat="false" ht="15" hidden="false" customHeight="false" outlineLevel="0" collapsed="false">
      <c r="A23" s="0" t="s">
        <v>33</v>
      </c>
      <c r="B23" s="0" t="s">
        <v>75</v>
      </c>
      <c r="C23" s="0" t="s">
        <v>52</v>
      </c>
      <c r="D23" s="5" t="n">
        <v>28.4</v>
      </c>
      <c r="E23" s="5" t="n">
        <v>43.5</v>
      </c>
    </row>
    <row r="24" customFormat="false" ht="15" hidden="false" customHeight="false" outlineLevel="0" collapsed="false">
      <c r="A24" s="0" t="s">
        <v>36</v>
      </c>
      <c r="B24" s="0" t="s">
        <v>76</v>
      </c>
      <c r="C24" s="0" t="s">
        <v>54</v>
      </c>
      <c r="D24" s="5" t="n">
        <v>23.74</v>
      </c>
      <c r="E24" s="5" t="n">
        <v>51.42</v>
      </c>
    </row>
    <row r="25" customFormat="false" ht="15" hidden="false" customHeight="false" outlineLevel="0" collapsed="false">
      <c r="A25" s="0" t="s">
        <v>35</v>
      </c>
      <c r="B25" s="0" t="s">
        <v>77</v>
      </c>
      <c r="C25" s="0" t="s">
        <v>56</v>
      </c>
      <c r="D25" s="5" t="n">
        <v>244.6</v>
      </c>
      <c r="E25" s="5" t="n">
        <v>387.31</v>
      </c>
    </row>
    <row r="26" customFormat="false" ht="15" hidden="false" customHeight="false" outlineLevel="0" collapsed="false">
      <c r="A26" s="0" t="s">
        <v>27</v>
      </c>
      <c r="B26" s="0" t="s">
        <v>78</v>
      </c>
      <c r="C26" s="0" t="s">
        <v>52</v>
      </c>
      <c r="D26" s="5" t="n">
        <v>45.07</v>
      </c>
      <c r="E26" s="5" t="n">
        <v>115.79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4" t="s">
        <v>3</v>
      </c>
      <c r="B1" s="4" t="s">
        <v>79</v>
      </c>
      <c r="C1" s="4" t="s">
        <v>80</v>
      </c>
      <c r="D1" s="4" t="s">
        <v>81</v>
      </c>
      <c r="E1" s="4" t="s">
        <v>82</v>
      </c>
      <c r="F1" s="4" t="s">
        <v>83</v>
      </c>
    </row>
    <row r="2" customFormat="false" ht="15" hidden="false" customHeight="false" outlineLevel="0" collapsed="false">
      <c r="A2" s="0" t="n">
        <v>1</v>
      </c>
      <c r="B2" s="0" t="s">
        <v>84</v>
      </c>
      <c r="C2" s="0" t="s">
        <v>85</v>
      </c>
      <c r="D2" s="0" t="s">
        <v>86</v>
      </c>
      <c r="E2" s="0" t="s">
        <v>87</v>
      </c>
      <c r="F2" s="3" t="n">
        <v>44672</v>
      </c>
    </row>
    <row r="3" customFormat="false" ht="15" hidden="false" customHeight="false" outlineLevel="0" collapsed="false">
      <c r="A3" s="0" t="n">
        <v>2</v>
      </c>
      <c r="B3" s="0" t="s">
        <v>88</v>
      </c>
      <c r="C3" s="0" t="s">
        <v>89</v>
      </c>
      <c r="D3" s="0" t="s">
        <v>90</v>
      </c>
      <c r="E3" s="0" t="s">
        <v>91</v>
      </c>
      <c r="F3" s="3" t="n">
        <v>44702</v>
      </c>
    </row>
    <row r="4" customFormat="false" ht="15" hidden="false" customHeight="false" outlineLevel="0" collapsed="false">
      <c r="A4" s="0" t="n">
        <v>3</v>
      </c>
      <c r="B4" s="0" t="s">
        <v>92</v>
      </c>
      <c r="C4" s="0" t="s">
        <v>93</v>
      </c>
      <c r="D4" s="0" t="s">
        <v>90</v>
      </c>
      <c r="E4" s="0" t="s">
        <v>87</v>
      </c>
      <c r="F4" s="3" t="n">
        <v>44593</v>
      </c>
    </row>
    <row r="5" customFormat="false" ht="15" hidden="false" customHeight="false" outlineLevel="0" collapsed="false">
      <c r="A5" s="0" t="n">
        <v>4</v>
      </c>
      <c r="B5" s="0" t="s">
        <v>94</v>
      </c>
      <c r="C5" s="0" t="s">
        <v>95</v>
      </c>
      <c r="D5" s="0" t="s">
        <v>96</v>
      </c>
      <c r="E5" s="0" t="s">
        <v>91</v>
      </c>
      <c r="F5" s="3" t="n">
        <v>45078</v>
      </c>
    </row>
    <row r="6" customFormat="false" ht="15" hidden="false" customHeight="false" outlineLevel="0" collapsed="false">
      <c r="A6" s="0" t="n">
        <v>5</v>
      </c>
      <c r="B6" s="0" t="s">
        <v>97</v>
      </c>
      <c r="C6" s="0" t="s">
        <v>98</v>
      </c>
      <c r="D6" s="0" t="s">
        <v>96</v>
      </c>
      <c r="E6" s="0" t="s">
        <v>99</v>
      </c>
      <c r="F6" s="3" t="n">
        <v>45143</v>
      </c>
    </row>
    <row r="7" customFormat="false" ht="15" hidden="false" customHeight="false" outlineLevel="0" collapsed="false">
      <c r="A7" s="0" t="n">
        <v>6</v>
      </c>
      <c r="B7" s="0" t="s">
        <v>100</v>
      </c>
      <c r="C7" s="0" t="s">
        <v>101</v>
      </c>
      <c r="D7" s="0" t="s">
        <v>96</v>
      </c>
      <c r="E7" s="0" t="s">
        <v>87</v>
      </c>
      <c r="F7" s="3" t="n">
        <v>45160</v>
      </c>
    </row>
    <row r="8" customFormat="false" ht="15" hidden="false" customHeight="false" outlineLevel="0" collapsed="false">
      <c r="A8" s="0" t="n">
        <v>7</v>
      </c>
      <c r="B8" s="0" t="s">
        <v>102</v>
      </c>
      <c r="C8" s="0" t="s">
        <v>103</v>
      </c>
      <c r="D8" s="0" t="s">
        <v>96</v>
      </c>
      <c r="E8" s="0" t="s">
        <v>87</v>
      </c>
      <c r="F8" s="3" t="n">
        <v>44917</v>
      </c>
    </row>
    <row r="9" customFormat="false" ht="15" hidden="false" customHeight="false" outlineLevel="0" collapsed="false">
      <c r="A9" s="0" t="n">
        <v>8</v>
      </c>
      <c r="B9" s="0" t="s">
        <v>104</v>
      </c>
      <c r="C9" s="0" t="s">
        <v>105</v>
      </c>
      <c r="D9" s="0" t="s">
        <v>86</v>
      </c>
      <c r="E9" s="0" t="s">
        <v>87</v>
      </c>
      <c r="F9" s="3" t="n">
        <v>44397</v>
      </c>
    </row>
    <row r="10" customFormat="false" ht="15" hidden="false" customHeight="false" outlineLevel="0" collapsed="false">
      <c r="A10" s="0" t="n">
        <v>9</v>
      </c>
      <c r="B10" s="0" t="s">
        <v>106</v>
      </c>
      <c r="C10" s="0" t="s">
        <v>107</v>
      </c>
      <c r="D10" s="0" t="s">
        <v>86</v>
      </c>
      <c r="E10" s="0" t="s">
        <v>99</v>
      </c>
      <c r="F10" s="3" t="n">
        <v>44466</v>
      </c>
    </row>
    <row r="11" customFormat="false" ht="15" hidden="false" customHeight="false" outlineLevel="0" collapsed="false">
      <c r="A11" s="0" t="n">
        <v>10</v>
      </c>
      <c r="B11" s="0" t="s">
        <v>108</v>
      </c>
      <c r="C11" s="0" t="s">
        <v>109</v>
      </c>
      <c r="D11" s="0" t="s">
        <v>96</v>
      </c>
      <c r="E11" s="0" t="s">
        <v>87</v>
      </c>
      <c r="F11" s="3" t="n">
        <v>44402</v>
      </c>
    </row>
    <row r="12" customFormat="false" ht="15" hidden="false" customHeight="false" outlineLevel="0" collapsed="false">
      <c r="A12" s="0" t="n">
        <v>11</v>
      </c>
      <c r="B12" s="0" t="s">
        <v>110</v>
      </c>
      <c r="C12" s="0" t="s">
        <v>111</v>
      </c>
      <c r="D12" s="0" t="s">
        <v>90</v>
      </c>
      <c r="E12" s="0" t="s">
        <v>91</v>
      </c>
      <c r="F12" s="3" t="n">
        <v>44336</v>
      </c>
    </row>
    <row r="13" customFormat="false" ht="15" hidden="false" customHeight="false" outlineLevel="0" collapsed="false">
      <c r="A13" s="0" t="n">
        <v>12</v>
      </c>
      <c r="B13" s="0" t="s">
        <v>112</v>
      </c>
      <c r="C13" s="0" t="s">
        <v>113</v>
      </c>
      <c r="D13" s="0" t="s">
        <v>86</v>
      </c>
      <c r="E13" s="0" t="s">
        <v>87</v>
      </c>
      <c r="F13" s="3" t="n">
        <v>44300</v>
      </c>
    </row>
    <row r="14" customFormat="false" ht="15" hidden="false" customHeight="false" outlineLevel="0" collapsed="false">
      <c r="A14" s="0" t="n">
        <v>13</v>
      </c>
      <c r="B14" s="0" t="s">
        <v>114</v>
      </c>
      <c r="C14" s="0" t="s">
        <v>115</v>
      </c>
      <c r="D14" s="0" t="s">
        <v>90</v>
      </c>
      <c r="E14" s="0" t="s">
        <v>87</v>
      </c>
      <c r="F14" s="3" t="n">
        <v>44377</v>
      </c>
    </row>
    <row r="15" customFormat="false" ht="15" hidden="false" customHeight="false" outlineLevel="0" collapsed="false">
      <c r="A15" s="0" t="n">
        <v>14</v>
      </c>
      <c r="B15" s="0" t="s">
        <v>116</v>
      </c>
      <c r="C15" s="0" t="s">
        <v>117</v>
      </c>
      <c r="D15" s="0" t="s">
        <v>90</v>
      </c>
      <c r="E15" s="0" t="s">
        <v>87</v>
      </c>
      <c r="F15" s="3" t="n">
        <v>44965</v>
      </c>
    </row>
    <row r="16" customFormat="false" ht="15" hidden="false" customHeight="false" outlineLevel="0" collapsed="false">
      <c r="A16" s="0" t="n">
        <v>15</v>
      </c>
      <c r="B16" s="0" t="s">
        <v>118</v>
      </c>
      <c r="C16" s="0" t="s">
        <v>119</v>
      </c>
      <c r="D16" s="0" t="s">
        <v>96</v>
      </c>
      <c r="E16" s="0" t="s">
        <v>87</v>
      </c>
      <c r="F16" s="3" t="n">
        <v>44318</v>
      </c>
    </row>
    <row r="17" customFormat="false" ht="15" hidden="false" customHeight="false" outlineLevel="0" collapsed="false">
      <c r="A17" s="0" t="n">
        <v>16</v>
      </c>
      <c r="B17" s="0" t="s">
        <v>120</v>
      </c>
      <c r="C17" s="0" t="s">
        <v>121</v>
      </c>
      <c r="D17" s="0" t="s">
        <v>90</v>
      </c>
      <c r="E17" s="0" t="s">
        <v>99</v>
      </c>
      <c r="F17" s="3" t="n">
        <v>45125</v>
      </c>
    </row>
    <row r="18" customFormat="false" ht="15" hidden="false" customHeight="false" outlineLevel="0" collapsed="false">
      <c r="A18" s="0" t="n">
        <v>17</v>
      </c>
      <c r="B18" s="0" t="s">
        <v>122</v>
      </c>
      <c r="C18" s="0" t="s">
        <v>123</v>
      </c>
      <c r="D18" s="0" t="s">
        <v>96</v>
      </c>
      <c r="E18" s="0" t="s">
        <v>124</v>
      </c>
      <c r="F18" s="3" t="n">
        <v>44374</v>
      </c>
    </row>
    <row r="19" customFormat="false" ht="15" hidden="false" customHeight="false" outlineLevel="0" collapsed="false">
      <c r="A19" s="0" t="n">
        <v>18</v>
      </c>
      <c r="B19" s="0" t="s">
        <v>125</v>
      </c>
      <c r="C19" s="0" t="s">
        <v>126</v>
      </c>
      <c r="D19" s="0" t="s">
        <v>96</v>
      </c>
      <c r="E19" s="0" t="s">
        <v>99</v>
      </c>
      <c r="F19" s="3" t="n">
        <v>44285</v>
      </c>
    </row>
    <row r="20" customFormat="false" ht="15" hidden="false" customHeight="false" outlineLevel="0" collapsed="false">
      <c r="A20" s="0" t="n">
        <v>19</v>
      </c>
      <c r="B20" s="0" t="s">
        <v>127</v>
      </c>
      <c r="C20" s="0" t="s">
        <v>128</v>
      </c>
      <c r="D20" s="0" t="s">
        <v>90</v>
      </c>
      <c r="E20" s="0" t="s">
        <v>91</v>
      </c>
      <c r="F20" s="3" t="n">
        <v>44772</v>
      </c>
    </row>
    <row r="21" customFormat="false" ht="15" hidden="false" customHeight="false" outlineLevel="0" collapsed="false">
      <c r="A21" s="0" t="n">
        <v>20</v>
      </c>
      <c r="B21" s="0" t="s">
        <v>129</v>
      </c>
      <c r="C21" s="0" t="s">
        <v>130</v>
      </c>
      <c r="D21" s="0" t="s">
        <v>90</v>
      </c>
      <c r="E21" s="0" t="s">
        <v>87</v>
      </c>
      <c r="F21" s="3" t="n">
        <v>44307</v>
      </c>
    </row>
    <row r="22" customFormat="false" ht="15" hidden="false" customHeight="false" outlineLevel="0" collapsed="false">
      <c r="A22" s="0" t="n">
        <v>21</v>
      </c>
      <c r="B22" s="0" t="s">
        <v>131</v>
      </c>
      <c r="C22" s="0" t="s">
        <v>132</v>
      </c>
      <c r="D22" s="0" t="s">
        <v>86</v>
      </c>
      <c r="E22" s="0" t="s">
        <v>87</v>
      </c>
      <c r="F22" s="3" t="n">
        <v>44322</v>
      </c>
    </row>
    <row r="23" customFormat="false" ht="15" hidden="false" customHeight="false" outlineLevel="0" collapsed="false">
      <c r="A23" s="0" t="n">
        <v>22</v>
      </c>
      <c r="B23" s="0" t="s">
        <v>133</v>
      </c>
      <c r="C23" s="0" t="s">
        <v>134</v>
      </c>
      <c r="D23" s="0" t="s">
        <v>90</v>
      </c>
      <c r="E23" s="0" t="s">
        <v>99</v>
      </c>
      <c r="F23" s="3" t="n">
        <v>44303</v>
      </c>
    </row>
    <row r="24" customFormat="false" ht="15" hidden="false" customHeight="false" outlineLevel="0" collapsed="false">
      <c r="A24" s="0" t="n">
        <v>23</v>
      </c>
      <c r="B24" s="0" t="s">
        <v>135</v>
      </c>
      <c r="C24" s="0" t="s">
        <v>136</v>
      </c>
      <c r="D24" s="0" t="s">
        <v>90</v>
      </c>
      <c r="E24" s="0" t="s">
        <v>87</v>
      </c>
      <c r="F24" s="3" t="n">
        <v>44409</v>
      </c>
    </row>
    <row r="25" customFormat="false" ht="15" hidden="false" customHeight="false" outlineLevel="0" collapsed="false">
      <c r="A25" s="0" t="n">
        <v>24</v>
      </c>
      <c r="B25" s="0" t="s">
        <v>137</v>
      </c>
      <c r="C25" s="0" t="s">
        <v>138</v>
      </c>
      <c r="D25" s="0" t="s">
        <v>86</v>
      </c>
      <c r="E25" s="0" t="s">
        <v>87</v>
      </c>
      <c r="F25" s="3" t="n">
        <v>44681</v>
      </c>
    </row>
    <row r="26" customFormat="false" ht="15" hidden="false" customHeight="false" outlineLevel="0" collapsed="false">
      <c r="A26" s="0" t="n">
        <v>25</v>
      </c>
      <c r="B26" s="0" t="s">
        <v>139</v>
      </c>
      <c r="C26" s="0" t="s">
        <v>140</v>
      </c>
      <c r="D26" s="0" t="s">
        <v>90</v>
      </c>
      <c r="E26" s="0" t="s">
        <v>87</v>
      </c>
      <c r="F26" s="3" t="n">
        <v>45051</v>
      </c>
    </row>
    <row r="27" customFormat="false" ht="15" hidden="false" customHeight="false" outlineLevel="0" collapsed="false">
      <c r="A27" s="0" t="n">
        <v>26</v>
      </c>
      <c r="B27" s="0" t="s">
        <v>141</v>
      </c>
      <c r="C27" s="0" t="s">
        <v>142</v>
      </c>
      <c r="D27" s="0" t="s">
        <v>86</v>
      </c>
      <c r="E27" s="0" t="s">
        <v>124</v>
      </c>
      <c r="F27" s="3" t="n">
        <v>45084</v>
      </c>
    </row>
    <row r="28" customFormat="false" ht="15" hidden="false" customHeight="false" outlineLevel="0" collapsed="false">
      <c r="A28" s="0" t="n">
        <v>27</v>
      </c>
      <c r="B28" s="0" t="s">
        <v>120</v>
      </c>
      <c r="C28" s="0" t="s">
        <v>143</v>
      </c>
      <c r="D28" s="0" t="s">
        <v>86</v>
      </c>
      <c r="E28" s="0" t="s">
        <v>124</v>
      </c>
      <c r="F28" s="3" t="n">
        <v>44361</v>
      </c>
    </row>
    <row r="29" customFormat="false" ht="15" hidden="false" customHeight="false" outlineLevel="0" collapsed="false">
      <c r="A29" s="0" t="n">
        <v>28</v>
      </c>
      <c r="B29" s="0" t="s">
        <v>144</v>
      </c>
      <c r="C29" s="0" t="s">
        <v>145</v>
      </c>
      <c r="D29" s="0" t="s">
        <v>86</v>
      </c>
      <c r="E29" s="0" t="s">
        <v>91</v>
      </c>
      <c r="F29" s="3" t="n">
        <v>44562</v>
      </c>
    </row>
    <row r="30" customFormat="false" ht="15" hidden="false" customHeight="false" outlineLevel="0" collapsed="false">
      <c r="A30" s="0" t="n">
        <v>29</v>
      </c>
      <c r="B30" s="0" t="s">
        <v>146</v>
      </c>
      <c r="C30" s="0" t="s">
        <v>147</v>
      </c>
      <c r="D30" s="0" t="s">
        <v>90</v>
      </c>
      <c r="E30" s="0" t="s">
        <v>87</v>
      </c>
      <c r="F30" s="3" t="n">
        <v>44540</v>
      </c>
    </row>
    <row r="31" customFormat="false" ht="15" hidden="false" customHeight="false" outlineLevel="0" collapsed="false">
      <c r="A31" s="0" t="n">
        <v>30</v>
      </c>
      <c r="B31" s="0" t="s">
        <v>148</v>
      </c>
      <c r="C31" s="0" t="s">
        <v>149</v>
      </c>
      <c r="D31" s="0" t="s">
        <v>90</v>
      </c>
      <c r="E31" s="0" t="s">
        <v>87</v>
      </c>
      <c r="F31" s="3" t="n">
        <v>44626</v>
      </c>
    </row>
    <row r="32" customFormat="false" ht="15" hidden="false" customHeight="false" outlineLevel="0" collapsed="false">
      <c r="A32" s="0" t="n">
        <v>31</v>
      </c>
      <c r="B32" s="0" t="s">
        <v>135</v>
      </c>
      <c r="C32" s="0" t="s">
        <v>150</v>
      </c>
      <c r="D32" s="0" t="s">
        <v>90</v>
      </c>
      <c r="E32" s="0" t="s">
        <v>124</v>
      </c>
      <c r="F32" s="3" t="n">
        <v>44672</v>
      </c>
    </row>
    <row r="33" customFormat="false" ht="15" hidden="false" customHeight="false" outlineLevel="0" collapsed="false">
      <c r="A33" s="0" t="n">
        <v>32</v>
      </c>
      <c r="B33" s="0" t="s">
        <v>151</v>
      </c>
      <c r="C33" s="0" t="s">
        <v>152</v>
      </c>
      <c r="D33" s="0" t="s">
        <v>96</v>
      </c>
      <c r="E33" s="0" t="s">
        <v>99</v>
      </c>
      <c r="F33" s="3" t="n">
        <v>44537</v>
      </c>
    </row>
    <row r="34" customFormat="false" ht="15" hidden="false" customHeight="false" outlineLevel="0" collapsed="false">
      <c r="A34" s="0" t="n">
        <v>33</v>
      </c>
      <c r="B34" s="0" t="s">
        <v>153</v>
      </c>
      <c r="C34" s="0" t="s">
        <v>154</v>
      </c>
      <c r="D34" s="0" t="s">
        <v>86</v>
      </c>
      <c r="E34" s="0" t="s">
        <v>91</v>
      </c>
      <c r="F34" s="3" t="n">
        <v>45193</v>
      </c>
    </row>
    <row r="35" customFormat="false" ht="15" hidden="false" customHeight="false" outlineLevel="0" collapsed="false">
      <c r="A35" s="0" t="n">
        <v>34</v>
      </c>
      <c r="B35" s="0" t="s">
        <v>155</v>
      </c>
      <c r="C35" s="0" t="s">
        <v>156</v>
      </c>
      <c r="D35" s="0" t="s">
        <v>96</v>
      </c>
      <c r="E35" s="0" t="s">
        <v>124</v>
      </c>
      <c r="F35" s="3" t="n">
        <v>44815</v>
      </c>
    </row>
    <row r="36" customFormat="false" ht="15" hidden="false" customHeight="false" outlineLevel="0" collapsed="false">
      <c r="A36" s="0" t="n">
        <v>35</v>
      </c>
      <c r="B36" s="0" t="s">
        <v>157</v>
      </c>
      <c r="C36" s="0" t="s">
        <v>158</v>
      </c>
      <c r="D36" s="0" t="s">
        <v>96</v>
      </c>
      <c r="E36" s="0" t="s">
        <v>87</v>
      </c>
      <c r="F36" s="3" t="n">
        <v>44376</v>
      </c>
    </row>
    <row r="37" customFormat="false" ht="15" hidden="false" customHeight="false" outlineLevel="0" collapsed="false">
      <c r="A37" s="0" t="n">
        <v>36</v>
      </c>
      <c r="B37" s="0" t="s">
        <v>110</v>
      </c>
      <c r="C37" s="0" t="s">
        <v>159</v>
      </c>
      <c r="D37" s="0" t="s">
        <v>96</v>
      </c>
      <c r="E37" s="0" t="s">
        <v>87</v>
      </c>
      <c r="F37" s="3" t="n">
        <v>44703</v>
      </c>
    </row>
    <row r="38" customFormat="false" ht="15" hidden="false" customHeight="false" outlineLevel="0" collapsed="false">
      <c r="A38" s="0" t="n">
        <v>37</v>
      </c>
      <c r="B38" s="0" t="s">
        <v>160</v>
      </c>
      <c r="C38" s="0" t="s">
        <v>161</v>
      </c>
      <c r="D38" s="0" t="s">
        <v>86</v>
      </c>
      <c r="E38" s="0" t="s">
        <v>99</v>
      </c>
      <c r="F38" s="3" t="n">
        <v>45164</v>
      </c>
    </row>
    <row r="39" customFormat="false" ht="15" hidden="false" customHeight="false" outlineLevel="0" collapsed="false">
      <c r="A39" s="0" t="n">
        <v>38</v>
      </c>
      <c r="B39" s="0" t="s">
        <v>162</v>
      </c>
      <c r="C39" s="0" t="s">
        <v>163</v>
      </c>
      <c r="D39" s="0" t="s">
        <v>96</v>
      </c>
      <c r="E39" s="0" t="s">
        <v>87</v>
      </c>
      <c r="F39" s="3" t="n">
        <v>44235</v>
      </c>
    </row>
    <row r="40" customFormat="false" ht="15" hidden="false" customHeight="false" outlineLevel="0" collapsed="false">
      <c r="A40" s="0" t="n">
        <v>39</v>
      </c>
      <c r="B40" s="0" t="s">
        <v>164</v>
      </c>
      <c r="C40" s="0" t="s">
        <v>165</v>
      </c>
      <c r="D40" s="0" t="s">
        <v>96</v>
      </c>
      <c r="E40" s="0" t="s">
        <v>99</v>
      </c>
      <c r="F40" s="3" t="n">
        <v>44848</v>
      </c>
    </row>
    <row r="41" customFormat="false" ht="15" hidden="false" customHeight="false" outlineLevel="0" collapsed="false">
      <c r="A41" s="0" t="n">
        <v>40</v>
      </c>
      <c r="B41" s="0" t="s">
        <v>166</v>
      </c>
      <c r="C41" s="0" t="s">
        <v>167</v>
      </c>
      <c r="D41" s="0" t="s">
        <v>86</v>
      </c>
      <c r="E41" s="0" t="s">
        <v>87</v>
      </c>
      <c r="F41" s="3" t="n">
        <v>44872</v>
      </c>
    </row>
    <row r="42" customFormat="false" ht="15" hidden="false" customHeight="false" outlineLevel="0" collapsed="false">
      <c r="A42" s="0" t="n">
        <v>41</v>
      </c>
      <c r="B42" s="0" t="s">
        <v>168</v>
      </c>
      <c r="C42" s="0" t="s">
        <v>169</v>
      </c>
      <c r="D42" s="0" t="s">
        <v>86</v>
      </c>
      <c r="E42" s="0" t="s">
        <v>99</v>
      </c>
      <c r="F42" s="3" t="n">
        <v>44317</v>
      </c>
    </row>
    <row r="43" customFormat="false" ht="15" hidden="false" customHeight="false" outlineLevel="0" collapsed="false">
      <c r="A43" s="0" t="n">
        <v>42</v>
      </c>
      <c r="B43" s="0" t="s">
        <v>120</v>
      </c>
      <c r="C43" s="0" t="s">
        <v>170</v>
      </c>
      <c r="D43" s="0" t="s">
        <v>90</v>
      </c>
      <c r="E43" s="0" t="s">
        <v>87</v>
      </c>
      <c r="F43" s="3" t="n">
        <v>44780</v>
      </c>
    </row>
    <row r="44" customFormat="false" ht="15" hidden="false" customHeight="false" outlineLevel="0" collapsed="false">
      <c r="A44" s="0" t="n">
        <v>43</v>
      </c>
      <c r="B44" s="0" t="s">
        <v>171</v>
      </c>
      <c r="C44" s="0" t="s">
        <v>172</v>
      </c>
      <c r="D44" s="0" t="s">
        <v>90</v>
      </c>
      <c r="E44" s="0" t="s">
        <v>91</v>
      </c>
      <c r="F44" s="3" t="n">
        <v>45162</v>
      </c>
    </row>
    <row r="45" customFormat="false" ht="15" hidden="false" customHeight="false" outlineLevel="0" collapsed="false">
      <c r="A45" s="0" t="n">
        <v>44</v>
      </c>
      <c r="B45" s="0" t="s">
        <v>173</v>
      </c>
      <c r="C45" s="0" t="s">
        <v>174</v>
      </c>
      <c r="D45" s="0" t="s">
        <v>96</v>
      </c>
      <c r="E45" s="0" t="s">
        <v>87</v>
      </c>
      <c r="F45" s="3" t="n">
        <v>44769</v>
      </c>
    </row>
    <row r="46" customFormat="false" ht="15" hidden="false" customHeight="false" outlineLevel="0" collapsed="false">
      <c r="A46" s="0" t="n">
        <v>45</v>
      </c>
      <c r="B46" s="0" t="s">
        <v>175</v>
      </c>
      <c r="C46" s="0" t="s">
        <v>176</v>
      </c>
      <c r="D46" s="0" t="s">
        <v>96</v>
      </c>
      <c r="E46" s="0" t="s">
        <v>124</v>
      </c>
      <c r="F46" s="3" t="n">
        <v>44324</v>
      </c>
    </row>
    <row r="47" customFormat="false" ht="15" hidden="false" customHeight="false" outlineLevel="0" collapsed="false">
      <c r="A47" s="0" t="n">
        <v>46</v>
      </c>
      <c r="B47" s="0" t="s">
        <v>177</v>
      </c>
      <c r="C47" s="0" t="s">
        <v>178</v>
      </c>
      <c r="D47" s="0" t="s">
        <v>96</v>
      </c>
      <c r="E47" s="0" t="s">
        <v>91</v>
      </c>
      <c r="F47" s="3" t="n">
        <v>44783</v>
      </c>
    </row>
    <row r="48" customFormat="false" ht="15" hidden="false" customHeight="false" outlineLevel="0" collapsed="false">
      <c r="A48" s="0" t="n">
        <v>47</v>
      </c>
      <c r="B48" s="0" t="s">
        <v>148</v>
      </c>
      <c r="C48" s="0" t="s">
        <v>179</v>
      </c>
      <c r="D48" s="0" t="s">
        <v>86</v>
      </c>
      <c r="E48" s="0" t="s">
        <v>87</v>
      </c>
      <c r="F48" s="3" t="n">
        <v>45137</v>
      </c>
    </row>
    <row r="49" customFormat="false" ht="15" hidden="false" customHeight="false" outlineLevel="0" collapsed="false">
      <c r="A49" s="0" t="n">
        <v>48</v>
      </c>
      <c r="B49" s="0" t="s">
        <v>180</v>
      </c>
      <c r="C49" s="0" t="s">
        <v>181</v>
      </c>
      <c r="D49" s="0" t="s">
        <v>96</v>
      </c>
      <c r="E49" s="0" t="s">
        <v>124</v>
      </c>
      <c r="F49" s="3" t="n">
        <v>44849</v>
      </c>
    </row>
    <row r="50" customFormat="false" ht="15" hidden="false" customHeight="false" outlineLevel="0" collapsed="false">
      <c r="A50" s="0" t="n">
        <v>49</v>
      </c>
      <c r="B50" s="0" t="s">
        <v>182</v>
      </c>
      <c r="C50" s="0" t="s">
        <v>183</v>
      </c>
      <c r="D50" s="0" t="s">
        <v>90</v>
      </c>
      <c r="E50" s="0" t="s">
        <v>99</v>
      </c>
      <c r="F50" s="3" t="n">
        <v>44522</v>
      </c>
    </row>
    <row r="51" customFormat="false" ht="15" hidden="false" customHeight="false" outlineLevel="0" collapsed="false">
      <c r="A51" s="0" t="n">
        <v>50</v>
      </c>
      <c r="B51" s="0" t="s">
        <v>84</v>
      </c>
      <c r="C51" s="0" t="s">
        <v>184</v>
      </c>
      <c r="D51" s="0" t="s">
        <v>86</v>
      </c>
      <c r="E51" s="0" t="s">
        <v>87</v>
      </c>
      <c r="F51" s="3" t="n">
        <v>45039</v>
      </c>
    </row>
    <row r="52" customFormat="false" ht="15" hidden="false" customHeight="false" outlineLevel="0" collapsed="false">
      <c r="A52" s="0" t="n">
        <v>51</v>
      </c>
      <c r="B52" s="0" t="s">
        <v>177</v>
      </c>
      <c r="C52" s="0" t="s">
        <v>185</v>
      </c>
      <c r="D52" s="0" t="s">
        <v>86</v>
      </c>
      <c r="E52" s="0" t="s">
        <v>87</v>
      </c>
      <c r="F52" s="3" t="n">
        <v>44783</v>
      </c>
    </row>
    <row r="53" customFormat="false" ht="15" hidden="false" customHeight="false" outlineLevel="0" collapsed="false">
      <c r="A53" s="0" t="n">
        <v>52</v>
      </c>
      <c r="B53" s="0" t="s">
        <v>186</v>
      </c>
      <c r="C53" s="0" t="s">
        <v>187</v>
      </c>
      <c r="D53" s="0" t="s">
        <v>90</v>
      </c>
      <c r="E53" s="0" t="s">
        <v>87</v>
      </c>
      <c r="F53" s="3" t="n">
        <v>44857</v>
      </c>
    </row>
    <row r="54" customFormat="false" ht="15" hidden="false" customHeight="false" outlineLevel="0" collapsed="false">
      <c r="A54" s="0" t="n">
        <v>53</v>
      </c>
      <c r="B54" s="0" t="s">
        <v>173</v>
      </c>
      <c r="C54" s="0" t="s">
        <v>188</v>
      </c>
      <c r="D54" s="0" t="s">
        <v>90</v>
      </c>
      <c r="E54" s="0" t="s">
        <v>87</v>
      </c>
      <c r="F54" s="3" t="n">
        <v>45044</v>
      </c>
    </row>
    <row r="55" customFormat="false" ht="15" hidden="false" customHeight="false" outlineLevel="0" collapsed="false">
      <c r="A55" s="0" t="n">
        <v>54</v>
      </c>
      <c r="B55" s="0" t="s">
        <v>173</v>
      </c>
      <c r="C55" s="0" t="s">
        <v>189</v>
      </c>
      <c r="D55" s="0" t="s">
        <v>96</v>
      </c>
      <c r="E55" s="0" t="s">
        <v>91</v>
      </c>
      <c r="F55" s="3" t="n">
        <v>44727</v>
      </c>
    </row>
    <row r="56" customFormat="false" ht="15" hidden="false" customHeight="false" outlineLevel="0" collapsed="false">
      <c r="A56" s="0" t="n">
        <v>55</v>
      </c>
      <c r="B56" s="0" t="s">
        <v>190</v>
      </c>
      <c r="C56" s="0" t="s">
        <v>191</v>
      </c>
      <c r="D56" s="0" t="s">
        <v>90</v>
      </c>
      <c r="E56" s="0" t="s">
        <v>87</v>
      </c>
      <c r="F56" s="3" t="n">
        <v>44901</v>
      </c>
    </row>
    <row r="57" customFormat="false" ht="15" hidden="false" customHeight="false" outlineLevel="0" collapsed="false">
      <c r="A57" s="0" t="n">
        <v>56</v>
      </c>
      <c r="B57" s="0" t="s">
        <v>122</v>
      </c>
      <c r="C57" s="0" t="s">
        <v>192</v>
      </c>
      <c r="D57" s="0" t="s">
        <v>86</v>
      </c>
      <c r="E57" s="0" t="s">
        <v>99</v>
      </c>
      <c r="F57" s="3" t="n">
        <v>44422</v>
      </c>
    </row>
    <row r="58" customFormat="false" ht="15" hidden="false" customHeight="false" outlineLevel="0" collapsed="false">
      <c r="A58" s="0" t="n">
        <v>57</v>
      </c>
      <c r="B58" s="0" t="s">
        <v>193</v>
      </c>
      <c r="C58" s="0" t="s">
        <v>194</v>
      </c>
      <c r="D58" s="0" t="s">
        <v>90</v>
      </c>
      <c r="E58" s="0" t="s">
        <v>99</v>
      </c>
      <c r="F58" s="3" t="n">
        <v>44450</v>
      </c>
    </row>
    <row r="59" customFormat="false" ht="15" hidden="false" customHeight="false" outlineLevel="0" collapsed="false">
      <c r="A59" s="0" t="n">
        <v>58</v>
      </c>
      <c r="B59" s="0" t="s">
        <v>182</v>
      </c>
      <c r="C59" s="0" t="s">
        <v>195</v>
      </c>
      <c r="D59" s="0" t="s">
        <v>96</v>
      </c>
      <c r="E59" s="0" t="s">
        <v>124</v>
      </c>
      <c r="F59" s="3" t="n">
        <v>45174</v>
      </c>
    </row>
    <row r="60" customFormat="false" ht="15" hidden="false" customHeight="false" outlineLevel="0" collapsed="false">
      <c r="A60" s="0" t="n">
        <v>59</v>
      </c>
      <c r="B60" s="0" t="s">
        <v>196</v>
      </c>
      <c r="C60" s="0" t="s">
        <v>197</v>
      </c>
      <c r="D60" s="0" t="s">
        <v>90</v>
      </c>
      <c r="E60" s="0" t="s">
        <v>124</v>
      </c>
      <c r="F60" s="3" t="n">
        <v>44808</v>
      </c>
    </row>
    <row r="61" customFormat="false" ht="15" hidden="false" customHeight="false" outlineLevel="0" collapsed="false">
      <c r="A61" s="0" t="n">
        <v>60</v>
      </c>
      <c r="B61" s="0" t="s">
        <v>157</v>
      </c>
      <c r="C61" s="0" t="s">
        <v>198</v>
      </c>
      <c r="D61" s="0" t="s">
        <v>86</v>
      </c>
      <c r="E61" s="0" t="s">
        <v>99</v>
      </c>
      <c r="F61" s="3" t="n">
        <v>44300</v>
      </c>
    </row>
    <row r="62" customFormat="false" ht="15" hidden="false" customHeight="false" outlineLevel="0" collapsed="false">
      <c r="A62" s="0" t="n">
        <v>61</v>
      </c>
      <c r="B62" s="0" t="s">
        <v>199</v>
      </c>
      <c r="C62" s="0" t="s">
        <v>200</v>
      </c>
      <c r="D62" s="0" t="s">
        <v>96</v>
      </c>
      <c r="E62" s="0" t="s">
        <v>99</v>
      </c>
      <c r="F62" s="3" t="n">
        <v>44982</v>
      </c>
    </row>
    <row r="63" customFormat="false" ht="15" hidden="false" customHeight="false" outlineLevel="0" collapsed="false">
      <c r="A63" s="0" t="n">
        <v>62</v>
      </c>
      <c r="B63" s="0" t="s">
        <v>201</v>
      </c>
      <c r="C63" s="0" t="s">
        <v>202</v>
      </c>
      <c r="D63" s="0" t="s">
        <v>90</v>
      </c>
      <c r="E63" s="0" t="s">
        <v>87</v>
      </c>
      <c r="F63" s="3" t="n">
        <v>45022</v>
      </c>
    </row>
    <row r="64" customFormat="false" ht="15" hidden="false" customHeight="false" outlineLevel="0" collapsed="false">
      <c r="A64" s="0" t="n">
        <v>63</v>
      </c>
      <c r="B64" s="0" t="s">
        <v>114</v>
      </c>
      <c r="C64" s="0" t="s">
        <v>203</v>
      </c>
      <c r="D64" s="0" t="s">
        <v>96</v>
      </c>
      <c r="E64" s="0" t="s">
        <v>91</v>
      </c>
      <c r="F64" s="3" t="n">
        <v>44368</v>
      </c>
    </row>
    <row r="65" customFormat="false" ht="15" hidden="false" customHeight="false" outlineLevel="0" collapsed="false">
      <c r="A65" s="0" t="n">
        <v>64</v>
      </c>
      <c r="B65" s="0" t="s">
        <v>204</v>
      </c>
      <c r="C65" s="0" t="s">
        <v>205</v>
      </c>
      <c r="D65" s="0" t="s">
        <v>86</v>
      </c>
      <c r="E65" s="0" t="s">
        <v>87</v>
      </c>
      <c r="F65" s="3" t="n">
        <v>44267</v>
      </c>
    </row>
    <row r="66" customFormat="false" ht="15" hidden="false" customHeight="false" outlineLevel="0" collapsed="false">
      <c r="A66" s="0" t="n">
        <v>65</v>
      </c>
      <c r="B66" s="0" t="s">
        <v>127</v>
      </c>
      <c r="C66" s="0" t="s">
        <v>206</v>
      </c>
      <c r="D66" s="0" t="s">
        <v>96</v>
      </c>
      <c r="E66" s="0" t="s">
        <v>91</v>
      </c>
      <c r="F66" s="3" t="n">
        <v>44471</v>
      </c>
    </row>
    <row r="67" customFormat="false" ht="15" hidden="false" customHeight="false" outlineLevel="0" collapsed="false">
      <c r="A67" s="0" t="n">
        <v>66</v>
      </c>
      <c r="B67" s="0" t="s">
        <v>141</v>
      </c>
      <c r="C67" s="0" t="s">
        <v>207</v>
      </c>
      <c r="D67" s="0" t="s">
        <v>90</v>
      </c>
      <c r="E67" s="0" t="s">
        <v>87</v>
      </c>
      <c r="F67" s="3" t="n">
        <v>45047</v>
      </c>
    </row>
    <row r="68" customFormat="false" ht="15" hidden="false" customHeight="false" outlineLevel="0" collapsed="false">
      <c r="A68" s="0" t="n">
        <v>67</v>
      </c>
      <c r="B68" s="0" t="s">
        <v>208</v>
      </c>
      <c r="C68" s="0" t="s">
        <v>209</v>
      </c>
      <c r="D68" s="0" t="s">
        <v>96</v>
      </c>
      <c r="E68" s="0" t="s">
        <v>87</v>
      </c>
      <c r="F68" s="3" t="n">
        <v>44437</v>
      </c>
    </row>
    <row r="69" customFormat="false" ht="15" hidden="false" customHeight="false" outlineLevel="0" collapsed="false">
      <c r="A69" s="0" t="n">
        <v>68</v>
      </c>
      <c r="B69" s="0" t="s">
        <v>210</v>
      </c>
      <c r="C69" s="0" t="s">
        <v>211</v>
      </c>
      <c r="D69" s="0" t="s">
        <v>96</v>
      </c>
      <c r="E69" s="0" t="s">
        <v>87</v>
      </c>
      <c r="F69" s="3" t="n">
        <v>44900</v>
      </c>
    </row>
    <row r="70" customFormat="false" ht="15" hidden="false" customHeight="false" outlineLevel="0" collapsed="false">
      <c r="A70" s="0" t="n">
        <v>69</v>
      </c>
      <c r="B70" s="0" t="s">
        <v>212</v>
      </c>
      <c r="C70" s="0" t="s">
        <v>213</v>
      </c>
      <c r="D70" s="0" t="s">
        <v>90</v>
      </c>
      <c r="E70" s="0" t="s">
        <v>91</v>
      </c>
      <c r="F70" s="3" t="n">
        <v>44533</v>
      </c>
    </row>
    <row r="71" customFormat="false" ht="15" hidden="false" customHeight="false" outlineLevel="0" collapsed="false">
      <c r="A71" s="0" t="n">
        <v>70</v>
      </c>
      <c r="B71" s="0" t="s">
        <v>153</v>
      </c>
      <c r="C71" s="0" t="s">
        <v>214</v>
      </c>
      <c r="D71" s="0" t="s">
        <v>96</v>
      </c>
      <c r="E71" s="0" t="s">
        <v>87</v>
      </c>
      <c r="F71" s="3" t="n">
        <v>45040</v>
      </c>
    </row>
    <row r="72" customFormat="false" ht="15" hidden="false" customHeight="false" outlineLevel="0" collapsed="false">
      <c r="A72" s="0" t="n">
        <v>71</v>
      </c>
      <c r="B72" s="0" t="s">
        <v>173</v>
      </c>
      <c r="C72" s="0" t="s">
        <v>215</v>
      </c>
      <c r="D72" s="0" t="s">
        <v>90</v>
      </c>
      <c r="E72" s="0" t="s">
        <v>87</v>
      </c>
      <c r="F72" s="3" t="n">
        <v>44339</v>
      </c>
    </row>
    <row r="73" customFormat="false" ht="15" hidden="false" customHeight="false" outlineLevel="0" collapsed="false">
      <c r="A73" s="0" t="n">
        <v>72</v>
      </c>
      <c r="B73" s="0" t="s">
        <v>216</v>
      </c>
      <c r="C73" s="0" t="s">
        <v>217</v>
      </c>
      <c r="D73" s="0" t="s">
        <v>86</v>
      </c>
      <c r="E73" s="0" t="s">
        <v>87</v>
      </c>
      <c r="F73" s="3" t="n">
        <v>45015</v>
      </c>
    </row>
    <row r="74" customFormat="false" ht="15" hidden="false" customHeight="false" outlineLevel="0" collapsed="false">
      <c r="A74" s="0" t="n">
        <v>73</v>
      </c>
      <c r="B74" s="0" t="s">
        <v>210</v>
      </c>
      <c r="C74" s="0" t="s">
        <v>218</v>
      </c>
      <c r="D74" s="0" t="s">
        <v>90</v>
      </c>
      <c r="E74" s="0" t="s">
        <v>87</v>
      </c>
      <c r="F74" s="3" t="n">
        <v>44955</v>
      </c>
    </row>
    <row r="75" customFormat="false" ht="15" hidden="false" customHeight="false" outlineLevel="0" collapsed="false">
      <c r="A75" s="0" t="n">
        <v>74</v>
      </c>
      <c r="B75" s="0" t="s">
        <v>219</v>
      </c>
      <c r="C75" s="0" t="s">
        <v>220</v>
      </c>
      <c r="D75" s="0" t="s">
        <v>90</v>
      </c>
      <c r="E75" s="0" t="s">
        <v>87</v>
      </c>
      <c r="F75" s="3" t="n">
        <v>44888</v>
      </c>
    </row>
    <row r="76" customFormat="false" ht="15" hidden="false" customHeight="false" outlineLevel="0" collapsed="false">
      <c r="A76" s="0" t="n">
        <v>75</v>
      </c>
      <c r="B76" s="0" t="s">
        <v>201</v>
      </c>
      <c r="C76" s="0" t="s">
        <v>221</v>
      </c>
      <c r="D76" s="0" t="s">
        <v>90</v>
      </c>
      <c r="E76" s="0" t="s">
        <v>91</v>
      </c>
      <c r="F76" s="3" t="n">
        <v>44850</v>
      </c>
    </row>
    <row r="77" customFormat="false" ht="15" hidden="false" customHeight="false" outlineLevel="0" collapsed="false">
      <c r="A77" s="0" t="n">
        <v>76</v>
      </c>
      <c r="B77" s="0" t="s">
        <v>222</v>
      </c>
      <c r="C77" s="0" t="s">
        <v>223</v>
      </c>
      <c r="D77" s="0" t="s">
        <v>86</v>
      </c>
      <c r="E77" s="0" t="s">
        <v>87</v>
      </c>
      <c r="F77" s="3" t="n">
        <v>44740</v>
      </c>
    </row>
    <row r="78" customFormat="false" ht="15" hidden="false" customHeight="false" outlineLevel="0" collapsed="false">
      <c r="A78" s="0" t="n">
        <v>77</v>
      </c>
      <c r="B78" s="0" t="s">
        <v>224</v>
      </c>
      <c r="C78" s="0" t="s">
        <v>225</v>
      </c>
      <c r="D78" s="0" t="s">
        <v>90</v>
      </c>
      <c r="E78" s="0" t="s">
        <v>87</v>
      </c>
      <c r="F78" s="3" t="n">
        <v>44480</v>
      </c>
    </row>
    <row r="79" customFormat="false" ht="15" hidden="false" customHeight="false" outlineLevel="0" collapsed="false">
      <c r="A79" s="0" t="n">
        <v>78</v>
      </c>
      <c r="B79" s="0" t="s">
        <v>226</v>
      </c>
      <c r="C79" s="0" t="s">
        <v>227</v>
      </c>
      <c r="D79" s="0" t="s">
        <v>86</v>
      </c>
      <c r="E79" s="0" t="s">
        <v>91</v>
      </c>
      <c r="F79" s="3" t="n">
        <v>44495</v>
      </c>
    </row>
    <row r="80" customFormat="false" ht="15" hidden="false" customHeight="false" outlineLevel="0" collapsed="false">
      <c r="A80" s="0" t="n">
        <v>79</v>
      </c>
      <c r="B80" s="0" t="s">
        <v>228</v>
      </c>
      <c r="C80" s="0" t="s">
        <v>229</v>
      </c>
      <c r="D80" s="0" t="s">
        <v>96</v>
      </c>
      <c r="E80" s="0" t="s">
        <v>91</v>
      </c>
      <c r="F80" s="3" t="n">
        <v>44858</v>
      </c>
    </row>
    <row r="81" customFormat="false" ht="15" hidden="false" customHeight="false" outlineLevel="0" collapsed="false">
      <c r="A81" s="0" t="n">
        <v>80</v>
      </c>
      <c r="B81" s="0" t="s">
        <v>230</v>
      </c>
      <c r="C81" s="0" t="s">
        <v>231</v>
      </c>
      <c r="D81" s="0" t="s">
        <v>90</v>
      </c>
      <c r="E81" s="0" t="s">
        <v>124</v>
      </c>
      <c r="F81" s="3" t="n">
        <v>44589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5</v>
      </c>
      <c r="B1" s="0" t="s">
        <v>232</v>
      </c>
      <c r="C1" s="0" t="s">
        <v>233</v>
      </c>
      <c r="D1" s="0" t="s">
        <v>234</v>
      </c>
      <c r="E1" s="0" t="s">
        <v>235</v>
      </c>
      <c r="F1" s="0" t="s">
        <v>236</v>
      </c>
      <c r="G1" s="0" t="s">
        <v>237</v>
      </c>
      <c r="H1" s="0" t="s">
        <v>238</v>
      </c>
      <c r="I1" s="0" t="s">
        <v>239</v>
      </c>
      <c r="J1" s="0" t="s">
        <v>240</v>
      </c>
      <c r="K1" s="0" t="s">
        <v>241</v>
      </c>
      <c r="L1" s="0" t="s">
        <v>242</v>
      </c>
      <c r="M1" s="0" t="s">
        <v>243</v>
      </c>
    </row>
    <row r="2" customFormat="false" ht="15" hidden="false" customHeight="false" outlineLevel="0" collapsed="false">
      <c r="A2" s="0" t="s">
        <v>14</v>
      </c>
      <c r="B2" s="0" t="n">
        <v>21000</v>
      </c>
      <c r="C2" s="0" t="n">
        <v>21000</v>
      </c>
      <c r="D2" s="0" t="n">
        <v>21000</v>
      </c>
      <c r="E2" s="0" t="n">
        <v>22000</v>
      </c>
      <c r="F2" s="0" t="n">
        <v>22000</v>
      </c>
      <c r="G2" s="0" t="n">
        <v>23000</v>
      </c>
      <c r="H2" s="0" t="n">
        <v>23000</v>
      </c>
      <c r="I2" s="0" t="n">
        <v>24000</v>
      </c>
      <c r="J2" s="0" t="n">
        <v>24000</v>
      </c>
      <c r="K2" s="0" t="n">
        <v>24000</v>
      </c>
      <c r="L2" s="0" t="n">
        <v>25000</v>
      </c>
      <c r="M2" s="0" t="n">
        <v>25000</v>
      </c>
    </row>
    <row r="3" customFormat="false" ht="15" hidden="false" customHeight="false" outlineLevel="0" collapsed="false">
      <c r="A3" s="0" t="s">
        <v>21</v>
      </c>
      <c r="B3" s="0" t="n">
        <v>19000</v>
      </c>
      <c r="C3" s="0" t="n">
        <v>19000</v>
      </c>
      <c r="D3" s="0" t="n">
        <v>20000</v>
      </c>
      <c r="E3" s="0" t="n">
        <v>20000</v>
      </c>
      <c r="F3" s="0" t="n">
        <v>21000</v>
      </c>
      <c r="G3" s="0" t="n">
        <v>21000</v>
      </c>
      <c r="H3" s="0" t="n">
        <v>21000</v>
      </c>
      <c r="I3" s="0" t="n">
        <v>22000</v>
      </c>
      <c r="J3" s="0" t="n">
        <v>22000</v>
      </c>
      <c r="K3" s="0" t="n">
        <v>23000</v>
      </c>
      <c r="L3" s="0" t="n">
        <v>23000</v>
      </c>
      <c r="M3" s="0" t="n">
        <v>23000</v>
      </c>
    </row>
    <row r="4" customFormat="false" ht="15" hidden="false" customHeight="false" outlineLevel="0" collapsed="false">
      <c r="A4" s="0" t="s">
        <v>20</v>
      </c>
      <c r="B4" s="0" t="n">
        <v>28000</v>
      </c>
      <c r="C4" s="0" t="n">
        <v>28000</v>
      </c>
      <c r="D4" s="0" t="n">
        <v>29000</v>
      </c>
      <c r="E4" s="0" t="n">
        <v>29000</v>
      </c>
      <c r="F4" s="0" t="n">
        <v>30000</v>
      </c>
      <c r="G4" s="0" t="n">
        <v>30000</v>
      </c>
      <c r="H4" s="0" t="n">
        <v>31000</v>
      </c>
      <c r="I4" s="0" t="n">
        <v>31000</v>
      </c>
      <c r="J4" s="0" t="n">
        <v>32000</v>
      </c>
      <c r="K4" s="0" t="n">
        <v>33000</v>
      </c>
      <c r="L4" s="0" t="n">
        <v>33000</v>
      </c>
      <c r="M4" s="0" t="n">
        <v>34000</v>
      </c>
    </row>
    <row r="5" customFormat="false" ht="15" hidden="false" customHeight="false" outlineLevel="0" collapsed="false">
      <c r="A5" s="0" t="s">
        <v>24</v>
      </c>
      <c r="B5" s="0" t="n">
        <v>20000</v>
      </c>
      <c r="C5" s="0" t="n">
        <v>21000</v>
      </c>
      <c r="D5" s="0" t="n">
        <v>21000</v>
      </c>
      <c r="E5" s="0" t="n">
        <v>22000</v>
      </c>
      <c r="F5" s="0" t="n">
        <v>22000</v>
      </c>
      <c r="G5" s="0" t="n">
        <v>22000</v>
      </c>
      <c r="H5" s="0" t="n">
        <v>23000</v>
      </c>
      <c r="I5" s="0" t="n">
        <v>23000</v>
      </c>
      <c r="J5" s="0" t="n">
        <v>24000</v>
      </c>
      <c r="K5" s="0" t="n">
        <v>24000</v>
      </c>
      <c r="L5" s="0" t="n">
        <v>24000</v>
      </c>
      <c r="M5" s="0" t="n">
        <v>25000</v>
      </c>
    </row>
    <row r="8" customFormat="false" ht="15" hidden="false" customHeight="false" outlineLevel="0" collapsed="false">
      <c r="A8" s="0" t="s">
        <v>244</v>
      </c>
      <c r="B8" s="0" t="n">
        <v>1.09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10</v>
      </c>
      <c r="B1" s="0" t="s">
        <v>245</v>
      </c>
    </row>
    <row r="2" customFormat="false" ht="15" hidden="false" customHeight="false" outlineLevel="0" collapsed="false">
      <c r="A2" s="0" t="s">
        <v>15</v>
      </c>
      <c r="B2" s="7" t="b">
        <f aca="false">TRUE()</f>
        <v>1</v>
      </c>
    </row>
    <row r="3" customFormat="false" ht="15" hidden="false" customHeight="false" outlineLevel="0" collapsed="false">
      <c r="A3" s="0" t="s">
        <v>18</v>
      </c>
      <c r="B3" s="7" t="b">
        <f aca="false">FALSE()</f>
        <v>0</v>
      </c>
    </row>
    <row r="4" customFormat="false" ht="15" hidden="false" customHeight="false" outlineLevel="0" collapsed="false">
      <c r="A4" s="0" t="s">
        <v>28</v>
      </c>
      <c r="B4" s="7" t="b">
        <f aca="false">FALSE()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2026-10-01T03:50:17Z</dcterms:created>
  <dc:creator>openpyxl</dc:creator>
  <dc:description/>
  <dc:language>en-US</dc:language>
  <cp:lastModifiedBy/>
  <dcterms:modified xsi:type="dcterms:W3CDTF">2026-10-01T03:50:17Z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